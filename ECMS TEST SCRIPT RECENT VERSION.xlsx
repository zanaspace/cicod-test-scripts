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ance Sheet" sheetId="1" r:id="rId4"/>
    <sheet state="hidden" name="ECMS Test Script" sheetId="2" r:id="rId5"/>
    <sheet state="visible" name="TOTAL TEST RESULT" sheetId="3" r:id="rId6"/>
    <sheet state="visible" name="DASHBOARD" sheetId="4" r:id="rId7"/>
    <sheet state="hidden" name="LOGIN TO ECMS" sheetId="5" r:id="rId8"/>
    <sheet state="visible" name="REQUEST" sheetId="6" r:id="rId9"/>
    <sheet state="visible" name="TICKET" sheetId="7" r:id="rId10"/>
    <sheet state="visible" name="MEMO" sheetId="8" r:id="rId11"/>
    <sheet state="visible" name="WORKFLOW  " sheetId="9" r:id="rId12"/>
    <sheet state="visible" name="FORMS" sheetId="10" r:id="rId13"/>
    <sheet state="visible" name="CONTACTS" sheetId="11" r:id="rId14"/>
    <sheet state="visible" name="USER" sheetId="12" r:id="rId15"/>
  </sheets>
  <definedNames/>
  <calcPr/>
  <extLst>
    <ext uri="GoogleSheetsCustomDataVersion2">
      <go:sheetsCustomData xmlns:go="http://customooxmlschemas.google.com/" r:id="rId16" roundtripDataChecksum="44r1LBmx1eAhT25qBY8uAcjEKX9d2TYHVWLOKsR2jBI="/>
    </ext>
  </extLst>
</workbook>
</file>

<file path=xl/sharedStrings.xml><?xml version="1.0" encoding="utf-8"?>
<sst xmlns="http://schemas.openxmlformats.org/spreadsheetml/2006/main" count="3934" uniqueCount="1629">
  <si>
    <t>Guide to Completing a Test Script</t>
  </si>
  <si>
    <t>1. File Naming:</t>
  </si>
  <si>
    <r>
      <rPr>
        <rFont val="Cambria"/>
        <color theme="1"/>
        <sz val="11.0"/>
      </rPr>
      <t xml:space="preserve">The file should be named using the version format provided in the sample (e.g., </t>
    </r>
    <r>
      <rPr>
        <rFont val="Cambria"/>
        <i/>
        <color theme="1"/>
        <sz val="11.0"/>
      </rPr>
      <t>Product Name Test Script v0.1</t>
    </r>
    <r>
      <rPr>
        <rFont val="Cambria"/>
        <color theme="1"/>
        <sz val="11.0"/>
      </rPr>
      <t>).</t>
    </r>
  </si>
  <si>
    <t>2. Test Date:</t>
  </si>
  <si>
    <t>Always include the date when the test is conducted.</t>
  </si>
  <si>
    <t>3. Approval for Live Environment:</t>
  </si>
  <si>
    <t>The test script can only be approved if it pertains to the live environment.</t>
  </si>
  <si>
    <t>4. Sign-off Requirement:</t>
  </si>
  <si>
    <t>The approver must sign off on the test script before it is moved to the live environment.</t>
  </si>
  <si>
    <t>5. Environment Specification:</t>
  </si>
  <si>
    <t>Indicate the environment where the test was conducted (e.g., Development, Staging, or Live).</t>
  </si>
  <si>
    <t>Pass</t>
  </si>
  <si>
    <t>Fail</t>
  </si>
  <si>
    <t>6. Document Category:</t>
  </si>
  <si>
    <t>ECMS Test Script</t>
  </si>
  <si>
    <t>Always specify whether the test script falls under the "Internal" or "External" category.</t>
  </si>
  <si>
    <t>7. External Document Scenarios:</t>
  </si>
  <si>
    <t>For external documents, scenarios may be limited to features applicable to the specified version.</t>
  </si>
  <si>
    <t xml:space="preserve">Date : </t>
  </si>
  <si>
    <t>8. Test Summary:</t>
  </si>
  <si>
    <t>Include a summary showing the test results for the current version.</t>
  </si>
  <si>
    <t xml:space="preserve">Tester Name &amp; Sign: </t>
  </si>
  <si>
    <t>9. Use Case Number:</t>
  </si>
  <si>
    <t>Ensure that the use case numbers of the tested scenarios are clearly indicated.</t>
  </si>
  <si>
    <t xml:space="preserve">Version: </t>
  </si>
  <si>
    <t>Gov Conference Test Script</t>
  </si>
  <si>
    <t>Environment:</t>
  </si>
  <si>
    <t>Pre Production</t>
  </si>
  <si>
    <t>Number of Passed Test Scenarios:</t>
  </si>
  <si>
    <t xml:space="preserve">                                                                                          ECMS  Test Script</t>
  </si>
  <si>
    <t>Doc Category:</t>
  </si>
  <si>
    <t>Internal</t>
  </si>
  <si>
    <t>Staging</t>
  </si>
  <si>
    <t>Number of Failed Test Scenarios:</t>
  </si>
  <si>
    <t>% of Passed Test Scenarios:</t>
  </si>
  <si>
    <t>Number of Test Scenarios:</t>
  </si>
  <si>
    <t>Total Number of Passed Test Scenarios:</t>
  </si>
  <si>
    <t>% of Failed Test Scenarios:</t>
  </si>
  <si>
    <t>External</t>
  </si>
  <si>
    <t>Features</t>
  </si>
  <si>
    <t>Total Number of Failed Test Scenarios:</t>
  </si>
  <si>
    <t>Steps to Reproduce</t>
  </si>
  <si>
    <t>Expected results</t>
  </si>
  <si>
    <t>Pass/Fail</t>
  </si>
  <si>
    <t>Comments and Observations</t>
  </si>
  <si>
    <t xml:space="preserve">             DASHBOARD </t>
  </si>
  <si>
    <t>Total Number of Test Scenarios:</t>
  </si>
  <si>
    <t xml:space="preserve">Workflow Dashboard </t>
  </si>
  <si>
    <t>From the left menu, click Dashboard</t>
  </si>
  <si>
    <t>Dashboard Page Expands</t>
  </si>
  <si>
    <t>Document Control Log:</t>
  </si>
  <si>
    <t>Version</t>
  </si>
  <si>
    <t>Use Case No</t>
  </si>
  <si>
    <t>Click Workflow Dashboard</t>
  </si>
  <si>
    <t>Workflow Dashboard loads successfully</t>
  </si>
  <si>
    <t>Feature Added</t>
  </si>
  <si>
    <t>Hover over the green “New Ticket” tab under Ticket Status</t>
  </si>
  <si>
    <t>Tooltip appears showing: “This refers to new tickets created on a particular day.”</t>
  </si>
  <si>
    <t>Click Today filter</t>
  </si>
  <si>
    <t>Ticket Status updates to show today’s ticket statistics</t>
  </si>
  <si>
    <t>Click Week filter</t>
  </si>
  <si>
    <t>Ticket Status updates to show ticket statistics for the current week</t>
  </si>
  <si>
    <t>Click Month filter</t>
  </si>
  <si>
    <t>Ticket Status updates to show statistics for the current month</t>
  </si>
  <si>
    <t>Select a custom date range from the date filter</t>
  </si>
  <si>
    <t>Ticket Status updates based on the selected date range</t>
  </si>
  <si>
    <t>Verify that Open, In Progress, and Closed ticket counts update correctly</t>
  </si>
  <si>
    <t>Values update dynamically according to applied filters</t>
  </si>
  <si>
    <t>Scroll to Workflow Ticket Summary (Bar Chart)</t>
  </si>
  <si>
    <t>Chart loads correctly with bars for each workflow</t>
  </si>
  <si>
    <t>Hover over a bar in the chart</t>
  </si>
  <si>
    <t>Tooltip displays workflow name + count of Open / In Progress / Closed tickets</t>
  </si>
  <si>
    <t>Click Open status Badge (legend)**</t>
  </si>
  <si>
    <t xml:space="preserve">only Inprogress and closed bars are displayed </t>
  </si>
  <si>
    <t>Click In progress Badge</t>
  </si>
  <si>
    <t xml:space="preserve">only closed bars are displayed </t>
  </si>
  <si>
    <t>Click Closed Badge</t>
  </si>
  <si>
    <t xml:space="preserve">No bar is dispalyed </t>
  </si>
  <si>
    <t>Click multiple statuses at once (e.g., Open + In progress + Closed)</t>
  </si>
  <si>
    <t xml:space="preserve">Combined satus view is displayed </t>
  </si>
  <si>
    <t>Validate that all chart labels and legends are readable</t>
  </si>
  <si>
    <t>UI elements render correctly, no overlaps</t>
  </si>
  <si>
    <t>Click on any queue (e.g., Complaints, QA, Correspondence)</t>
  </si>
  <si>
    <t>Workflow Ticket Summary updates to display the ticket distribution for the selected queue</t>
  </si>
  <si>
    <t>Hover over the bar for the selected queue</t>
  </si>
  <si>
    <t>Tooltip shows correct workflow summary for that queue</t>
  </si>
  <si>
    <t>End Test</t>
  </si>
  <si>
    <t>S/No</t>
  </si>
  <si>
    <t>Login</t>
  </si>
  <si>
    <t>Enter url: https://www.1gov.ng/</t>
  </si>
  <si>
    <r>
      <rPr>
        <rFont val="Cambria"/>
        <i/>
        <color theme="1"/>
        <sz val="11.0"/>
      </rPr>
      <t>takes you to the 1gov login page</t>
    </r>
    <r>
      <rPr>
        <rFont val="Cambria"/>
        <color theme="1"/>
        <sz val="11.0"/>
      </rPr>
      <t xml:space="preserve"> </t>
    </r>
  </si>
  <si>
    <t>Click Login</t>
  </si>
  <si>
    <t>Open page where the MDA can enter their login detail:Domain Name, Email field, Password filed,  Login buttion field</t>
  </si>
  <si>
    <t>Login (with correct details)</t>
  </si>
  <si>
    <t>Click on Login</t>
  </si>
  <si>
    <t>Displays Login page</t>
  </si>
  <si>
    <t>Enter Your Domain</t>
  </si>
  <si>
    <t>Display Domain name</t>
  </si>
  <si>
    <t>Enter Email</t>
  </si>
  <si>
    <t>Display Email</t>
  </si>
  <si>
    <t>Enter Password</t>
  </si>
  <si>
    <t>Display and hide Password</t>
  </si>
  <si>
    <t>opens the Home Page of the MDA</t>
  </si>
  <si>
    <t>Login (with wrong Domain)</t>
  </si>
  <si>
    <t>LOGIN WITHOUT 2FA</t>
  </si>
  <si>
    <t>Display 'Invalid Email or Password'</t>
  </si>
  <si>
    <t>Login (with wrong email)</t>
  </si>
  <si>
    <t xml:space="preserve">Pre Production </t>
  </si>
  <si>
    <t xml:space="preserve">Internal </t>
  </si>
  <si>
    <t>Login (with wrong password)</t>
  </si>
  <si>
    <r>
      <rPr>
        <rFont val="Cambria"/>
        <i/>
        <color theme="1"/>
        <sz val="11.0"/>
      </rPr>
      <t>takes you to the 1gov login page</t>
    </r>
    <r>
      <rPr>
        <rFont val="Cambria"/>
        <color theme="1"/>
        <sz val="11.0"/>
      </rPr>
      <t xml:space="preserve"> </t>
    </r>
  </si>
  <si>
    <t>Show Password</t>
  </si>
  <si>
    <t>Show Password/hide Password</t>
  </si>
  <si>
    <t>Password is hidden/Dispalyed to the user</t>
  </si>
  <si>
    <r>
      <rPr>
        <rFont val="Cambria"/>
        <i/>
        <color theme="1"/>
        <sz val="11.0"/>
      </rPr>
      <t>takes you to the 1gov login page</t>
    </r>
    <r>
      <rPr>
        <rFont val="Cambria"/>
        <color theme="1"/>
        <sz val="11.0"/>
      </rPr>
      <t xml:space="preserve"> </t>
    </r>
  </si>
  <si>
    <t>LOGIN</t>
  </si>
  <si>
    <t>REQUEST</t>
  </si>
  <si>
    <t xml:space="preserve">Internal Request </t>
  </si>
  <si>
    <t xml:space="preserve">Click on Request </t>
  </si>
  <si>
    <t>The App should display;
1. Internal request tab
2. External request tab</t>
  </si>
  <si>
    <t>Click internal</t>
  </si>
  <si>
    <t xml:space="preserve">Should display the queue category and all currently active internal forms within each category, excluding any forms that are suspended.
</t>
  </si>
  <si>
    <t>Click on form name</t>
  </si>
  <si>
    <t>Should display these options;
1. View Form
2. Share form</t>
  </si>
  <si>
    <t>Click View form</t>
  </si>
  <si>
    <t>Should display form</t>
  </si>
  <si>
    <t>Enter details in form</t>
  </si>
  <si>
    <t>Should display data entered</t>
  </si>
  <si>
    <t>Click Submit</t>
  </si>
  <si>
    <t>Should submit form and display success message with reference number</t>
  </si>
  <si>
    <t>For share option, Click Share</t>
  </si>
  <si>
    <t>Should display share mediums i.e facebook,whatsapp, twitter and the unique form link</t>
  </si>
  <si>
    <t>Copy link</t>
  </si>
  <si>
    <t>Should allow user copy form link</t>
  </si>
  <si>
    <t>Paste link on a web portal</t>
  </si>
  <si>
    <t>Should allow user paste link on a web portal</t>
  </si>
  <si>
    <t>clcik form link</t>
  </si>
  <si>
    <t>should open form in ECMS app</t>
  </si>
  <si>
    <t xml:space="preserve">External Request </t>
  </si>
  <si>
    <t>Click on Request</t>
  </si>
  <si>
    <t>LOGIN WITH EMAIL OTP (2FA)</t>
  </si>
  <si>
    <t>APPLICATION</t>
  </si>
  <si>
    <t>Click external</t>
  </si>
  <si>
    <t xml:space="preserve">Should display the queue category and all currently active external forms within each category, excluding any forms that are suspended.
</t>
  </si>
  <si>
    <t>View 1 Gov Cloud Admin  (ECMS)</t>
  </si>
  <si>
    <t>Displays all 1gov App</t>
  </si>
  <si>
    <t>Should display all 1gov app e.g. ECMS, 1GOVdrive, Gov Inmail, Gov Conference, Access Management</t>
  </si>
  <si>
    <t>Click on ECMS Application</t>
  </si>
  <si>
    <t xml:space="preserve">Should redirect you to the ECMS platform </t>
  </si>
  <si>
    <t>Click form link</t>
  </si>
  <si>
    <t>Should open form in ECMS app</t>
  </si>
  <si>
    <t>LOG OUT</t>
  </si>
  <si>
    <t>Log Out</t>
  </si>
  <si>
    <t>Click on the User profile to log out</t>
  </si>
  <si>
    <t>User is successfully logged out of the user dashboard</t>
  </si>
  <si>
    <t>Validate OTP</t>
  </si>
  <si>
    <t>Go to 1Gov Website : https://www.1gov.ng/</t>
  </si>
  <si>
    <t>Displays login page</t>
  </si>
  <si>
    <t>Enter MDA</t>
  </si>
  <si>
    <t>Display MDA name</t>
  </si>
  <si>
    <t>Display Two-Factor Authentication page and notification: 'OTP has been sent to your email'</t>
  </si>
  <si>
    <t>Enter OTP on the Two-Factor Authentication Page on 1Gov</t>
  </si>
  <si>
    <t>Displays OTP entered</t>
  </si>
  <si>
    <t>Click on Verify Code</t>
  </si>
  <si>
    <t>Displays 1Gov Admin page</t>
  </si>
  <si>
    <t>Validate OTP (with wrong OTP)</t>
  </si>
  <si>
    <t xml:space="preserve">Go to 1Gov Website </t>
  </si>
  <si>
    <t>Enter wrong OTP on the Two-Factor Authentication Page on 1Gov</t>
  </si>
  <si>
    <t>displays notification error: ''</t>
  </si>
  <si>
    <t xml:space="preserve">Pass </t>
  </si>
  <si>
    <t>LOGIN WITH 1GOV OTP MOBILE APPLICATION (2FA)</t>
  </si>
  <si>
    <t>Download App (Install App on IOS )</t>
  </si>
  <si>
    <t>Pre Produdciton</t>
  </si>
  <si>
    <t>MEMO</t>
  </si>
  <si>
    <t>Click on Test Flight Link: https://testflight.apple.com/join/XgBY5ZFr</t>
  </si>
  <si>
    <t>Redirects user to page to install app</t>
  </si>
  <si>
    <t>Install App</t>
  </si>
  <si>
    <t>App is installed on user's mobile device</t>
  </si>
  <si>
    <t>Open App</t>
  </si>
  <si>
    <t>Displays splash screen, then displays login screen</t>
  </si>
  <si>
    <t xml:space="preserve">Chinwuba Okafor </t>
  </si>
  <si>
    <t>Download App (Install App on Android )</t>
  </si>
  <si>
    <t>Go to google playstore to download: GOV otp by GBB</t>
  </si>
  <si>
    <t xml:space="preserve">Redirects user to application to install </t>
  </si>
  <si>
    <t xml:space="preserve">CREATE TICKET </t>
  </si>
  <si>
    <t>Create Ticket</t>
  </si>
  <si>
    <t xml:space="preserve">From the left menu, click on tickets </t>
  </si>
  <si>
    <t>Tickets submenu expands showing: Create Ticket, View All Tickets, View Ticket Approvals</t>
  </si>
  <si>
    <t>Click Create Ticket</t>
  </si>
  <si>
    <t>Create Ticket screen loads with dropdowns for Queue and Queue Type</t>
  </si>
  <si>
    <t>Click on Queue dropdown</t>
  </si>
  <si>
    <t>System displays all available queues the user has access to</t>
  </si>
  <si>
    <t>Select a valid Queue</t>
  </si>
  <si>
    <t>Queue Type dropdown is activated (if not already active)</t>
  </si>
  <si>
    <t>Click on Queue Type dropdown</t>
  </si>
  <si>
    <t>System displays queue types mapped to the selected queue</t>
  </si>
  <si>
    <t>Select a valid Queue Type</t>
  </si>
  <si>
    <t>System auto-loads the dynamic ticket creation form based on workflow configuration for that Queue + Queue Type</t>
  </si>
  <si>
    <t>Verify that required UI fields appear (e.g. Customer name, Email, Address fields, Priority, Attach File etc.)</t>
  </si>
  <si>
    <t>All form fields configured in workflow appear correctly with labels, validations, and proper alignment</t>
  </si>
  <si>
    <t>Begin filling in the form with valid test data</t>
  </si>
  <si>
    <t>All fields accept valid inputs</t>
  </si>
  <si>
    <t>Toggle “Assign this ticket right away?” to ON</t>
  </si>
  <si>
    <t>Assign to User dropdown becomes active</t>
  </si>
  <si>
    <t>Click Assign to User dropdown</t>
  </si>
  <si>
    <t>Only users with: View Access + Workflow Access + Status Access appear in the dropdown</t>
  </si>
  <si>
    <t xml:space="preserve">Select a vlaid user from the list </t>
  </si>
  <si>
    <t xml:space="preserve">User is assigned successfully </t>
  </si>
  <si>
    <t>Review form and click Create</t>
  </si>
  <si>
    <t>System validates all required fields</t>
  </si>
  <si>
    <t>Observe system notification</t>
  </si>
  <si>
    <t>Green popup appears: “Ticket Created Successfully — Ticket ID: XXXXX”</t>
  </si>
  <si>
    <t>Click OK on success notification</t>
  </si>
  <si>
    <t>User is redirected to All Tickets panel</t>
  </si>
  <si>
    <t>Verify newly created ticket appears in All Tickets</t>
  </si>
  <si>
    <t>Newly created ticket is visible with correct details (Queue, Queue Type, Status = New, Assigned User if selected)</t>
  </si>
  <si>
    <t>Open the ticket from the list</t>
  </si>
  <si>
    <t>Ticket opens correctly showing all entered data, attachments, priority, and assigned users</t>
  </si>
  <si>
    <t>Login (with wrong Email)</t>
  </si>
  <si>
    <t>VIEW TICKET</t>
  </si>
  <si>
    <t xml:space="preserve">View All Ticket </t>
  </si>
  <si>
    <t>Click Tickets on the left menu</t>
  </si>
  <si>
    <t xml:space="preserve">Ticket Submenu expands </t>
  </si>
  <si>
    <t>Click View All Tickets</t>
  </si>
  <si>
    <t>User is redirected to the All Tickets page</t>
  </si>
  <si>
    <t>Verify tabs: Assigned To Me, Assigned By Me, Created By Me, All Tickets, Inactive Tickets</t>
  </si>
  <si>
    <t>All tabs display correctly</t>
  </si>
  <si>
    <t>Toggle the My Workflow / All Tickets switch</t>
  </si>
  <si>
    <t>Table updates according to selected filter</t>
  </si>
  <si>
    <t>Click Search By dropdown</t>
  </si>
  <si>
    <t>Dropdown expands showing options: Ticket ID, Title, Contact Name, Company Name</t>
  </si>
  <si>
    <t>Select Ticket ID from Search By</t>
  </si>
  <si>
    <t>Search input field becomes active for Ticket ID search</t>
  </si>
  <si>
    <t>Type a valid Ticket ID in the Search input</t>
  </si>
  <si>
    <t>Matching ticket appears</t>
  </si>
  <si>
    <t>Select Title from Search By</t>
  </si>
  <si>
    <t>Search input resets and is set to Title search</t>
  </si>
  <si>
    <t>Type a keyword in Search input</t>
  </si>
  <si>
    <t>List displays tickets that contain the keyword in their title</t>
  </si>
  <si>
    <t>Select Contact Name from Search By</t>
  </si>
  <si>
    <t>CREATE MEMO</t>
  </si>
  <si>
    <t>Search Input changes to accept accept contact name queries</t>
  </si>
  <si>
    <t xml:space="preserve">Enter a valid contact name </t>
  </si>
  <si>
    <t>Tickets linked to that contact appear</t>
  </si>
  <si>
    <t>Select Company Name from Search By</t>
  </si>
  <si>
    <t>Search input now accepts organization name</t>
  </si>
  <si>
    <t>Enter an existing company name</t>
  </si>
  <si>
    <t>Tickets belonging to that company appear</t>
  </si>
  <si>
    <t xml:space="preserve">Enter an exisitng company name </t>
  </si>
  <si>
    <t xml:space="preserve">Tickets belonging to the company appear </t>
  </si>
  <si>
    <t>Navigate to and click on the “Memo” dropdown.</t>
  </si>
  <si>
    <t xml:space="preserve">Click custome View </t>
  </si>
  <si>
    <t xml:space="preserve">Customization modal opens </t>
  </si>
  <si>
    <t>Login (with correct details)- (test back button after logging in)</t>
  </si>
  <si>
    <t>The Memo dropdown expands and displays a list of features including Create Memo, View All Memo, Memo Draft, and Memo Draft Preview.</t>
  </si>
  <si>
    <t>Check/Uncheck columns (Ticket ID, Title, Queue, Contact, Email, Organization, Created By, Status, etc.)</t>
  </si>
  <si>
    <t>Table updates immediately to reflect selected columns</t>
  </si>
  <si>
    <t>Click Select All</t>
  </si>
  <si>
    <t xml:space="preserve">All available columns display in the table </t>
  </si>
  <si>
    <t>Pre Prodcution</t>
  </si>
  <si>
    <t>Click Filter</t>
  </si>
  <si>
    <t xml:space="preserve">Filter modal Opens </t>
  </si>
  <si>
    <t>Apply fileter by queue only</t>
  </si>
  <si>
    <t xml:space="preserve">Table refreshes with matching queue ticket </t>
  </si>
  <si>
    <t xml:space="preserve">Apply filter by queue Type </t>
  </si>
  <si>
    <t xml:space="preserve">Only tickets under that queue type display </t>
  </si>
  <si>
    <t xml:space="preserve">Filter  by Status </t>
  </si>
  <si>
    <t>Table shows tickets matching status</t>
  </si>
  <si>
    <t xml:space="preserve">Filter by Ticket state </t>
  </si>
  <si>
    <t xml:space="preserve">Shows only active/inactive based on selection </t>
  </si>
  <si>
    <t>Display screen to create a passcode</t>
  </si>
  <si>
    <t>Click on “Create Memo” to access the memo</t>
  </si>
  <si>
    <t xml:space="preserve">Filter by Date Created </t>
  </si>
  <si>
    <t xml:space="preserve">shows ticket created on a particular date </t>
  </si>
  <si>
    <t>An easy-to-follow guide for the memo editor is displayed, helping the user understand how to create and format a memo.</t>
  </si>
  <si>
    <t xml:space="preserve">Filter by Created By </t>
  </si>
  <si>
    <t xml:space="preserve">Displays ticket created by a slected user </t>
  </si>
  <si>
    <t>Click on the mobile device back button</t>
  </si>
  <si>
    <t xml:space="preserve">Filter by Priority </t>
  </si>
  <si>
    <t xml:space="preserve">Tickets filtered by selected priority </t>
  </si>
  <si>
    <t>The app should not be able to go back to the Login page</t>
  </si>
  <si>
    <t xml:space="preserve">Filter using Date Range </t>
  </si>
  <si>
    <t>Only tickets within selected range appear</t>
  </si>
  <si>
    <t>Filter by Assigned To</t>
  </si>
  <si>
    <t xml:space="preserve">Shows tickets addigned to the user selected </t>
  </si>
  <si>
    <t xml:space="preserve">Shows tickets assigned to the user selected </t>
  </si>
  <si>
    <t xml:space="preserve">Filter by Starred Tickets </t>
  </si>
  <si>
    <t>Only starred entries appear</t>
  </si>
  <si>
    <t>Click Reset Filters</t>
  </si>
  <si>
    <t xml:space="preserve">All filters clear; table returns to full list </t>
  </si>
  <si>
    <t>Click Create button (top right)</t>
  </si>
  <si>
    <t>Redirects user to Create Ticket page</t>
  </si>
  <si>
    <t>Open Inactive Tickets tab</t>
  </si>
  <si>
    <t>Only inactive tickets display</t>
  </si>
  <si>
    <t>Click on save</t>
  </si>
  <si>
    <t>displays 'Access code changed Successfully!'</t>
  </si>
  <si>
    <t>Review the memo editor guide carefully and select the “Don’t show this guide again” checkbox.</t>
  </si>
  <si>
    <t>The user successfully understands the memo guide, and upon selecting the checkbox, the guide will not be displayed in future memo creation sessions.</t>
  </si>
  <si>
    <t>Login (with correct details)-(close app after logging in)</t>
  </si>
  <si>
    <t xml:space="preserve">View Single Ticket </t>
  </si>
  <si>
    <t xml:space="preserve">Navigate to and click on the Create Memo </t>
  </si>
  <si>
    <t>Close the app entirely without creating a passcode</t>
  </si>
  <si>
    <t>App should be closed entirely</t>
  </si>
  <si>
    <t>The Create Memo page is displayed with editing tools available on top. A blank memo template appears below with the title “1Government Cloud Support”, showing the user’s address and the current date.</t>
  </si>
  <si>
    <t>From the Menu click on ticket</t>
  </si>
  <si>
    <t>Open the App again</t>
  </si>
  <si>
    <t>The Create passcode page should display</t>
  </si>
  <si>
    <t>A sub menu create ticket button and view All ticket is displayed</t>
  </si>
  <si>
    <t xml:space="preserve">WORKFLOW </t>
  </si>
  <si>
    <t>click on "sans seff module"</t>
  </si>
  <si>
    <t>Click on View all ticket sub -menu</t>
  </si>
  <si>
    <t>A list of text style options—Sans Seff, Serif, and Monospace—is displayed, allowing the user to change the memo text style.</t>
  </si>
  <si>
    <t>Should displays View ticket page</t>
  </si>
  <si>
    <t>Create a Passcode</t>
  </si>
  <si>
    <t>Click on my/all ticket Tab</t>
  </si>
  <si>
    <t>Should display Current/All ticket view page</t>
  </si>
  <si>
    <t>Hides passcode and displays confirmation screen</t>
  </si>
  <si>
    <t>Click on a ticket item title button link</t>
  </si>
  <si>
    <t>Displays selected ticket details</t>
  </si>
  <si>
    <t>Click on "Styles menu"</t>
  </si>
  <si>
    <t>Display list of text of size, select a preferred text size.</t>
  </si>
  <si>
    <t>Close the app entirely again without re-entering passcode</t>
  </si>
  <si>
    <t xml:space="preserve">Add Comment </t>
  </si>
  <si>
    <t>Click on "Bold module"</t>
  </si>
  <si>
    <t>A list of text sizes is displayed, allowing the user to select their preferred text size for the memo.</t>
  </si>
  <si>
    <t>Displays View ticket page</t>
  </si>
  <si>
    <t>Displays Current/All ticket view page</t>
  </si>
  <si>
    <t>Click on a ticket button link</t>
  </si>
  <si>
    <t xml:space="preserve">Click on "Italic Module" </t>
  </si>
  <si>
    <t>The highlighted text is displayed in a slanted (italic) style.</t>
  </si>
  <si>
    <t>Click on comment button</t>
  </si>
  <si>
    <t>Should Display comment field page</t>
  </si>
  <si>
    <t>Create Workflow</t>
  </si>
  <si>
    <t>Enter a comment information</t>
  </si>
  <si>
    <t>comment should be accepted successfully</t>
  </si>
  <si>
    <t>Click on "Underline module"</t>
  </si>
  <si>
    <t>Click on save comment button</t>
  </si>
  <si>
    <t>comment should be accepted and mail sent</t>
  </si>
  <si>
    <t>The highlighted text is displayed with an underline.</t>
  </si>
  <si>
    <t>Create Passcode</t>
  </si>
  <si>
    <t>Enter Passcode</t>
  </si>
  <si>
    <t>Click on "strikethrough module"</t>
  </si>
  <si>
    <t>The highlighted text is displayed with a line through it.</t>
  </si>
  <si>
    <t>Assign to Resource</t>
  </si>
  <si>
    <t>From the Menu click on Workflow</t>
  </si>
  <si>
    <t>Re-enter Passcode</t>
  </si>
  <si>
    <t>The system should display sub-menus;
1. Create workflow 
2. My workflow</t>
  </si>
  <si>
    <t>Hides passcode</t>
  </si>
  <si>
    <t>Click on the “A” icon to change the text color.</t>
  </si>
  <si>
    <t>Click on Next arrow</t>
  </si>
  <si>
    <t>Displays OTP screen</t>
  </si>
  <si>
    <t>The highlighted text color can be updated as per the user’s selection.</t>
  </si>
  <si>
    <t>Click on Assign button</t>
  </si>
  <si>
    <t>Displays list of user</t>
  </si>
  <si>
    <t>Click on assign to a resource button</t>
  </si>
  <si>
    <t>Displays successful</t>
  </si>
  <si>
    <t>Check for mail notification</t>
  </si>
  <si>
    <t>Mail notification should be sent successfully</t>
  </si>
  <si>
    <t>Click on Create workflow sub -menu</t>
  </si>
  <si>
    <t>Click on the “A” icon to change the text background color.</t>
  </si>
  <si>
    <t>Should display Create workflow page with 4 tabs
1. Process
2. Forms
3. Escalations
4. Approvals</t>
  </si>
  <si>
    <t>The background color of the highlighted text is updated according to the user’s selection.</t>
  </si>
  <si>
    <t>On the process tab, click "Select Queue"</t>
  </si>
  <si>
    <t>Should display already created Queues for selection</t>
  </si>
  <si>
    <t xml:space="preserve">Assign Ticket To A User </t>
  </si>
  <si>
    <t>Click on the “Alignment” module to view text alignment options.</t>
  </si>
  <si>
    <t>Generate OTP</t>
  </si>
  <si>
    <t>A list of alignment options—Left Align, Center Align, and Justify—is displayed, allowing the user to select their preferred text alignment.</t>
  </si>
  <si>
    <t>To Create New Queue</t>
  </si>
  <si>
    <t>Login to App</t>
  </si>
  <si>
    <t>Click on Generate OTP</t>
  </si>
  <si>
    <t xml:space="preserve">Displays 6-digit OTP with expiry time of 30 seconds counting down </t>
  </si>
  <si>
    <t>Click on the “Order” module to apply numeric ordering to text.</t>
  </si>
  <si>
    <t>Click on a user</t>
  </si>
  <si>
    <t>The highlighted text is arranged in a numbered sequence (e.g., 1, 2, 3) according to the user’s selection.</t>
  </si>
  <si>
    <t>Click on Create Queue</t>
  </si>
  <si>
    <t>Should display a modal for queue name and description input</t>
  </si>
  <si>
    <t>Verify mail notification</t>
  </si>
  <si>
    <t>Mail notification should be sent</t>
  </si>
  <si>
    <t>Enter Queue name and description and click on save and select</t>
  </si>
  <si>
    <t>Click on the “Bullet List” module to apply bullet formatting.</t>
  </si>
  <si>
    <t>Should successfully creates and select queue on process tab</t>
  </si>
  <si>
    <t>he highlighted text is arranged in a bulleted list format.</t>
  </si>
  <si>
    <t>To Create Queue Type</t>
  </si>
  <si>
    <t xml:space="preserve">Reassign Workflow </t>
  </si>
  <si>
    <t>Click on the “Decrease Indent” module to reduce the text indentation.</t>
  </si>
  <si>
    <t>Generate New OTP (after expiratiuon time of 30 secinds)</t>
  </si>
  <si>
    <t>The highlighted text moves closer to the left margin, decreasing its indentation level.</t>
  </si>
  <si>
    <t>Click Tickets on the left navigation menu</t>
  </si>
  <si>
    <t>Click on create New queue type</t>
  </si>
  <si>
    <t>Ticket dropdown expands and displays tciket options</t>
  </si>
  <si>
    <t>Should display a modal for queue type name and description input</t>
  </si>
  <si>
    <t>Enter Queue type name and description and click on save and select</t>
  </si>
  <si>
    <t>Should successfully create and select queue type on process form</t>
  </si>
  <si>
    <t>click "view all tickets "</t>
  </si>
  <si>
    <t>Click on the “Increase Indent” module to add indentation to the text.</t>
  </si>
  <si>
    <t>system loads the tickets page and displays all available tickets</t>
  </si>
  <si>
    <t>The highlighted text is shifted to the right, increasing its indentation level.</t>
  </si>
  <si>
    <t>selecy a specific ticket from the lsit</t>
  </si>
  <si>
    <t xml:space="preserve">system opens the ticket details page </t>
  </si>
  <si>
    <t>Wait till After Count Down</t>
  </si>
  <si>
    <t>App does a count down of 30 seconds</t>
  </si>
  <si>
    <t>on the ticket detaisl page click "Act Now"</t>
  </si>
  <si>
    <t>Dropdown menu appears with available actions</t>
  </si>
  <si>
    <t>Click on the “Blockquote” module to apply blockquote formatting.</t>
  </si>
  <si>
    <t>The highlighted text is formatted as a blockquote, typically indented and styled to indicate a quoted section.</t>
  </si>
  <si>
    <t>To Add Status</t>
  </si>
  <si>
    <t xml:space="preserve">select the reassign workflow </t>
  </si>
  <si>
    <t xml:space="preserve">a modal form title reassign ticket to a workflow appears </t>
  </si>
  <si>
    <t xml:space="preserve">Displays a new 6-digit OTP with expiry time of 30 seconds counting down </t>
  </si>
  <si>
    <t>select a new queue</t>
  </si>
  <si>
    <t>queue dropdown opens user can pick a queue</t>
  </si>
  <si>
    <t>Click Select Status</t>
  </si>
  <si>
    <t>Should display Status (Open) and Closed as default and allows user search and select status</t>
  </si>
  <si>
    <t>Highlight a text and click on the “Insert Link” module.</t>
  </si>
  <si>
    <t xml:space="preserve">select a queue type </t>
  </si>
  <si>
    <t xml:space="preserve">queue type dropdown opens user can pick a valid type </t>
  </si>
  <si>
    <t>A small dialog appears allowing the user to enter a URL. After entering the URL and saving, the highlighted text is converted into a clickable hyperlink.</t>
  </si>
  <si>
    <t xml:space="preserve">click re-assign button </t>
  </si>
  <si>
    <t>To Create New Status</t>
  </si>
  <si>
    <t xml:space="preserve">System Processes the request </t>
  </si>
  <si>
    <t xml:space="preserve">system displays a successful popup mssage confirming  reassignment </t>
  </si>
  <si>
    <t xml:space="preserve">Success popup is visible </t>
  </si>
  <si>
    <t>Click on the “Insert Image” module.</t>
  </si>
  <si>
    <t>Click Create Status</t>
  </si>
  <si>
    <t>A dialog or page is displayed allowing the user to upload or add an image to the memo.</t>
  </si>
  <si>
    <t>Should display Create new status modal page</t>
  </si>
  <si>
    <t xml:space="preserve">users clicks "OK"  on the popup message </t>
  </si>
  <si>
    <t xml:space="preserve">popup closes and user returns to the ticket details page </t>
  </si>
  <si>
    <t>Enter name, and Description and click on save and select</t>
  </si>
  <si>
    <t>Should successfully create status and select status on the process form</t>
  </si>
  <si>
    <t>Highlight a text and click on the “Insert Formula” module.</t>
  </si>
  <si>
    <t>A dialog appears for entering a formula. After entering the formula and clicking Save, the highlighted text displays the inserted formula.</t>
  </si>
  <si>
    <t>Click Next button</t>
  </si>
  <si>
    <t>Should display Form page</t>
  </si>
  <si>
    <t>Essign Doucment</t>
  </si>
  <si>
    <t>Copy OTP</t>
  </si>
  <si>
    <t>To Customize Form for workflow</t>
  </si>
  <si>
    <t xml:space="preserve">Navigate to ticket attachment section </t>
  </si>
  <si>
    <t xml:space="preserve">attchement loads succesfully </t>
  </si>
  <si>
    <t>Click on the “Clear Formatting” module.</t>
  </si>
  <si>
    <t>All formatting (e.g., bold, italic, underline, color, alignment) applied to the selected text is removed, returning it to the default style.</t>
  </si>
  <si>
    <t>View the following on the form page
1. Fields
2. Default fields (Title and Description)
3. Help Guide</t>
  </si>
  <si>
    <t xml:space="preserve">click on the sign icon beside the document </t>
  </si>
  <si>
    <t>e-sign modal displays</t>
  </si>
  <si>
    <t>System should display the following on the form page
1. Fields
2. Default fields (Title and Description)
3. Help Guide</t>
  </si>
  <si>
    <t xml:space="preserve">view document inside the e signing modal </t>
  </si>
  <si>
    <t xml:space="preserve">Document preview laods </t>
  </si>
  <si>
    <t>Click on Copy OTP</t>
  </si>
  <si>
    <t>Displays a pop-up with Copied message</t>
  </si>
  <si>
    <t>Verify signing elements (Signature, Initial, Date, Prefix, Name, Phone, Email, Text) are visible</t>
  </si>
  <si>
    <t xml:space="preserve">All elements are visible </t>
  </si>
  <si>
    <t>Hide the title and the description by selecting the checkbox (if necessary)</t>
  </si>
  <si>
    <t>The title and description should be checked and hidden from the form (during ticket creation)</t>
  </si>
  <si>
    <t>Click Signature element</t>
  </si>
  <si>
    <t xml:space="preserve">signature options panel opens </t>
  </si>
  <si>
    <t>Drag and Drop form field</t>
  </si>
  <si>
    <t>Form field selected should be displayed on form panel</t>
  </si>
  <si>
    <t xml:space="preserve">Choose Hand-drawn signature </t>
  </si>
  <si>
    <t xml:space="preserve">Draing pad loads </t>
  </si>
  <si>
    <t>Navigate to and click on “Save Draft”</t>
  </si>
  <si>
    <t>Click on next button</t>
  </si>
  <si>
    <t>A dialog appears asking if the user wants to save the memo as a draft. After entering a preferred file name and clicking Yes, the memo is saved in draft form, the user is directed to the memo draft page</t>
  </si>
  <si>
    <t>Should Display the escalation page</t>
  </si>
  <si>
    <t>Draw signature → Clear → Update → Save</t>
  </si>
  <si>
    <t>System saves drawn signature successfully</t>
  </si>
  <si>
    <t>To Add Escalation To Workflow</t>
  </si>
  <si>
    <t>Choose Typed Signature → Type text → Change color → Save</t>
  </si>
  <si>
    <t>System saves typed signature &amp; color</t>
  </si>
  <si>
    <t>Navigate to and click on “Save Memo”</t>
  </si>
  <si>
    <t>The memo is saved successfully, and a confirmation message is displayed indicating that the memo has been saved, then user is directed to the view all memo page.</t>
  </si>
  <si>
    <t>Click Add escalation on status button link</t>
  </si>
  <si>
    <t>Choose Upload Signature → Upload image → Clear → Update → Save</t>
  </si>
  <si>
    <t>Should display escalation modal having add button</t>
  </si>
  <si>
    <t>Uploaded signature saved</t>
  </si>
  <si>
    <t>Download the memo file,but a pop-up appears indicating “Failed to create memo."</t>
  </si>
  <si>
    <t>Click Initial element</t>
  </si>
  <si>
    <t>Select who the escalation would be sent to by selecting the escalation type from the drop-down such as line manager, and role</t>
  </si>
  <si>
    <t>Initial modal opens with auto-generated initial</t>
  </si>
  <si>
    <t>Should display the escalation type that is selected</t>
  </si>
  <si>
    <t>Change text + choose color + Save</t>
  </si>
  <si>
    <t xml:space="preserve">Initial saved successfully </t>
  </si>
  <si>
    <t>Select Line manager escalation type</t>
  </si>
  <si>
    <t>Should display Line manager and time value box</t>
  </si>
  <si>
    <t xml:space="preserve">place signature on document </t>
  </si>
  <si>
    <t xml:space="preserve">signature appears at clicked location </t>
  </si>
  <si>
    <t>Enter Time value</t>
  </si>
  <si>
    <t>Should display time value</t>
  </si>
  <si>
    <t>Place Initial on document</t>
  </si>
  <si>
    <t>Initial appears correctly</t>
  </si>
  <si>
    <t>Click on save button</t>
  </si>
  <si>
    <t>The escalation record should be saved</t>
  </si>
  <si>
    <t xml:space="preserve">place date signed element </t>
  </si>
  <si>
    <t xml:space="preserve">current date appears </t>
  </si>
  <si>
    <t>Display Two-Factor Authentication page</t>
  </si>
  <si>
    <t>If the escalation type is "Role," choose just the role or choose role and department (directly aligning the role with the specific department).</t>
  </si>
  <si>
    <t xml:space="preserve">place name prefix element </t>
  </si>
  <si>
    <t>Should display just role, or role and department(if department was selected)</t>
  </si>
  <si>
    <t xml:space="preserve">Name prefix appears </t>
  </si>
  <si>
    <t>Place Phone Number element → Type phone number</t>
  </si>
  <si>
    <t>Phone number editable and saved</t>
  </si>
  <si>
    <t>Login to Gov OTP App</t>
  </si>
  <si>
    <t>VIEW ALL MEMO</t>
  </si>
  <si>
    <t xml:space="preserve">place email element </t>
  </si>
  <si>
    <t xml:space="preserve">system displays users email address </t>
  </si>
  <si>
    <t>Place Text element → Type text</t>
  </si>
  <si>
    <t>To Add New Escalation Level</t>
  </si>
  <si>
    <t>Text is editable and placed on document</t>
  </si>
  <si>
    <t>Displays Escalation details</t>
  </si>
  <si>
    <t xml:space="preserve">click preview </t>
  </si>
  <si>
    <t xml:space="preserve">Preview shows document with all placed elements </t>
  </si>
  <si>
    <t xml:space="preserve">click Back </t>
  </si>
  <si>
    <t xml:space="preserve">user returned to editing mode </t>
  </si>
  <si>
    <t xml:space="preserve">clcik save </t>
  </si>
  <si>
    <t xml:space="preserve">success message displayed </t>
  </si>
  <si>
    <t>Click on “View All Memo”.</t>
  </si>
  <si>
    <t>A page is displayed showing a list of all saved memos, including their titles, dates, and status.</t>
  </si>
  <si>
    <t xml:space="preserve">click view </t>
  </si>
  <si>
    <t xml:space="preserve">signed document opens </t>
  </si>
  <si>
    <t xml:space="preserve">save/download the final signed document </t>
  </si>
  <si>
    <t xml:space="preserve">Document downloaded successfully </t>
  </si>
  <si>
    <t>Select a memo and click on the "action" module</t>
  </si>
  <si>
    <t>Options for View, Update and attach to ticket are displayed, allowing the user to either view the memo details,update and attach to ticket</t>
  </si>
  <si>
    <t>it is attach to ticket instead, of attach to task</t>
  </si>
  <si>
    <t>Click on the “View” module.</t>
  </si>
  <si>
    <t>The selected memo is opened in a read-only mode, allowing the user to review its content without making changes.</t>
  </si>
  <si>
    <t xml:space="preserve">Update Status </t>
  </si>
  <si>
    <t>Navigate to and click on the “Update” module.</t>
  </si>
  <si>
    <t>he selected memo is opened in edit mode, allowing the user to modify its content and save the changes.</t>
  </si>
  <si>
    <t>Give Role Access to workflow</t>
  </si>
  <si>
    <t>Observe the toolbar for the newly added “Add Reviewer” and “view feedbacks” modules.</t>
  </si>
  <si>
    <t>The toolbar displays two new features—Add Reviewer and Add Comment—allowing the user to assign reviewers and add comments to the memo.</t>
  </si>
  <si>
    <t>Click on update status button</t>
  </si>
  <si>
    <t>Click on “Attach to Ticket” to initiate task creation.</t>
  </si>
  <si>
    <t>Displays updated status page</t>
  </si>
  <si>
    <t>From the Menu click on workflow</t>
  </si>
  <si>
    <t>A new page is displayed showing the Create Task interface, allowing the user to attach the memo to a ticket.</t>
  </si>
  <si>
    <t>Selects status Option</t>
  </si>
  <si>
    <t>Displays Status</t>
  </si>
  <si>
    <t>A sub menu create workflow button and my workflow is displayed</t>
  </si>
  <si>
    <t>Check email box</t>
  </si>
  <si>
    <t>email box should be check</t>
  </si>
  <si>
    <t>Select a queue and its corresponding queue type from the available options.</t>
  </si>
  <si>
    <t xml:space="preserve">The selected queue and queue type are successfully applied. </t>
  </si>
  <si>
    <t>Click on update button</t>
  </si>
  <si>
    <t>Create a workflow and set the approval level</t>
  </si>
  <si>
    <t>Displays "Successful" Alert message</t>
  </si>
  <si>
    <t>Should create the workflow and setup the workflow</t>
  </si>
  <si>
    <t>Mail notification</t>
  </si>
  <si>
    <t>Mail is sent</t>
  </si>
  <si>
    <t>Click on the "Create Module" button</t>
  </si>
  <si>
    <t>the module creation page/form is displayed</t>
  </si>
  <si>
    <t>Click on Grant access button</t>
  </si>
  <si>
    <t>Should display the role page</t>
  </si>
  <si>
    <t>Click on the Action button</t>
  </si>
  <si>
    <t xml:space="preserve">Update Ticket </t>
  </si>
  <si>
    <t>Should display a drop-down with a list such as Update, and suspend</t>
  </si>
  <si>
    <t>Entry the "Task  Title"</t>
  </si>
  <si>
    <t>The task title is accepted and displayed in the input field.</t>
  </si>
  <si>
    <t>Click on Update</t>
  </si>
  <si>
    <t>Displays the update role page</t>
  </si>
  <si>
    <t>Click on give role access button</t>
  </si>
  <si>
    <t>Click on the “Attach Memo” link to upload a memo file to the task.</t>
  </si>
  <si>
    <t>Should display the give role access to different features page</t>
  </si>
  <si>
    <t>A file selection dialog appears, allowing the user to choose a memo file.</t>
  </si>
  <si>
    <t>Check features to give access to</t>
  </si>
  <si>
    <t>Features you want to give role access to should be displayed in a blue tick</t>
  </si>
  <si>
    <t>Should display View ticket page</t>
  </si>
  <si>
    <t>Should displays a success alert such as role successfully updated</t>
  </si>
  <si>
    <t>Select a memo file and click on the “Attach” module.</t>
  </si>
  <si>
    <t>The selected memo file is successfully attached to the task</t>
  </si>
  <si>
    <t>Click on finish button</t>
  </si>
  <si>
    <t>The user should be directed to my workflow page</t>
  </si>
  <si>
    <t>Should display selected ticket details</t>
  </si>
  <si>
    <t>Click on cancel button</t>
  </si>
  <si>
    <t>Should terminate the process</t>
  </si>
  <si>
    <t>Act Now</t>
  </si>
  <si>
    <t>Click on back button</t>
  </si>
  <si>
    <t>Should go to the previous page</t>
  </si>
  <si>
    <t>Click on act now button</t>
  </si>
  <si>
    <t>Should display a drop-down such as add comment, assign to resources, re-assign to user, re-assign workflow, update status, update ticket, upload file, and ticket life cycle report</t>
  </si>
  <si>
    <t>Complete all remaining required fields in the task creation form.</t>
  </si>
  <si>
    <t>All entered information is accepted, and the form is ready for submission.</t>
  </si>
  <si>
    <t>Click on update ticket link</t>
  </si>
  <si>
    <t>Should display the update ticket page</t>
  </si>
  <si>
    <t>Edit all the fields such as Queue, queue type, title, description, address, street, address line 2, country, state, city, postal/zip code, and assign to line manager</t>
  </si>
  <si>
    <t>All fields should be editable</t>
  </si>
  <si>
    <t>Check the box for "Would you like to assign this task right away?" to enable immediate assignment.</t>
  </si>
  <si>
    <t>The task assignment options become active, allowing the user to assign the task immediately.</t>
  </si>
  <si>
    <t xml:space="preserve">View my workflow </t>
  </si>
  <si>
    <t>Click on the dropdown menu and select the user to whom the task will be assigned.</t>
  </si>
  <si>
    <t>The selected user is displayed in the dropdown, and the task will be assigned to them upon submission.</t>
  </si>
  <si>
    <t xml:space="preserve">Upload file </t>
  </si>
  <si>
    <t>View 1 Gov Cloud Admin  (Gov Conference)</t>
  </si>
  <si>
    <t>Click on the "Create Module" button to finalize the creation of task.</t>
  </si>
  <si>
    <t>The task is created succefully and memo is been attached----&gt; THEN a notification pop ups displaying the task id number</t>
  </si>
  <si>
    <t xml:space="preserve">From the Menu click on workflow </t>
  </si>
  <si>
    <t>A sub menu create workflow button and my workflow should be displayed</t>
  </si>
  <si>
    <t>Click on attach file button</t>
  </si>
  <si>
    <t>Should Display a drop-down such as from device, from gov drive</t>
  </si>
  <si>
    <t>clcik on my workflows sub-menu</t>
  </si>
  <si>
    <t>Should display my workflow page</t>
  </si>
  <si>
    <t>Gov Drive</t>
  </si>
  <si>
    <t xml:space="preserve">End Test </t>
  </si>
  <si>
    <t>Click on gov drive</t>
  </si>
  <si>
    <t>Gov drive page should be displayed</t>
  </si>
  <si>
    <t>MEMO DRAFT</t>
  </si>
  <si>
    <t>Click on a folder in Gov drive</t>
  </si>
  <si>
    <t>Should open the folder to display the files</t>
  </si>
  <si>
    <t>Click on Gov Conference Application</t>
  </si>
  <si>
    <t>Select a file</t>
  </si>
  <si>
    <t>File should be selected</t>
  </si>
  <si>
    <t xml:space="preserve">Should redirect you to the Gov Conference platform </t>
  </si>
  <si>
    <t>Click on insert button</t>
  </si>
  <si>
    <t>Should display a successful alert such as document uploaded success</t>
  </si>
  <si>
    <t xml:space="preserve">View workflow Item </t>
  </si>
  <si>
    <t>Click on cancel</t>
  </si>
  <si>
    <t>From The Device</t>
  </si>
  <si>
    <t>Click on "Memo Draft"</t>
  </si>
  <si>
    <t>A page is displayed showing all memos saved as drafts, allowing the user to view, edit, or manage draft memos.</t>
  </si>
  <si>
    <t>Click on from the device button</t>
  </si>
  <si>
    <t>Should display the upload file page</t>
  </si>
  <si>
    <t>Click on my workflows sub -menu</t>
  </si>
  <si>
    <t>Click on the file name</t>
  </si>
  <si>
    <t>Should open the file to select from</t>
  </si>
  <si>
    <t>Select a memo and click on the “Action” module.</t>
  </si>
  <si>
    <t>Select file type to upload</t>
  </si>
  <si>
    <t>Click on action button on a workflow item</t>
  </si>
  <si>
    <t>XLX, PDF, IMG, PNG, JPEG should be accepted</t>
  </si>
  <si>
    <t>Options for View and Update are displayed, allowing the user to either view the memo details or edit the memo.</t>
  </si>
  <si>
    <t>Should display a drop-down such as View, suspend, and update workflow</t>
  </si>
  <si>
    <t>Enter the description</t>
  </si>
  <si>
    <t>Description should be displayed</t>
  </si>
  <si>
    <t>Click on view button</t>
  </si>
  <si>
    <t>Should display the workflow page</t>
  </si>
  <si>
    <t>Click on upload button</t>
  </si>
  <si>
    <t>File should be uploaded successfully</t>
  </si>
  <si>
    <t>Should display a confirmation alert such as "Are you sure you want to cancel? You wont be able to complete this operation! "</t>
  </si>
  <si>
    <t>Click on okay button</t>
  </si>
  <si>
    <t>Should cancel the process</t>
  </si>
  <si>
    <t>Observe the toolbar for the newly added “Add Reviewer”, “view feedbacks” and "View access" modules.</t>
  </si>
  <si>
    <t>Download</t>
  </si>
  <si>
    <t>The toolbar displays three new features—Add Reviewer and Add Comment—allowing the user to assign reviewers and add comments to the memo.</t>
  </si>
  <si>
    <t>Update workflow Item</t>
  </si>
  <si>
    <t>Click on download button</t>
  </si>
  <si>
    <t>Should download the file</t>
  </si>
  <si>
    <t>View File</t>
  </si>
  <si>
    <t>Click on the "Add Reviewer" module</t>
  </si>
  <si>
    <t>A list or interface is displayed, allowing the user to select or assign a reviewer to the memo.</t>
  </si>
  <si>
    <t>Should open the file</t>
  </si>
  <si>
    <t>E-Sign guide</t>
  </si>
  <si>
    <t>Click on e-sign guide</t>
  </si>
  <si>
    <t>Should display the e-sign guide</t>
  </si>
  <si>
    <t>click on the “Add” module.</t>
  </si>
  <si>
    <t>The selected reviewers are successfully added to the memo, and a confirmation message is displayed, then  the reviewer  should get a notificatio via email</t>
  </si>
  <si>
    <t>Click on the “View Feedback” module.</t>
  </si>
  <si>
    <t>A side panel opens displaying a list of comments and feedback from the selected reviewers.</t>
  </si>
  <si>
    <t>Click on Update button</t>
  </si>
  <si>
    <t>Should display workflow Update page</t>
  </si>
  <si>
    <t>APP TOGGLE</t>
  </si>
  <si>
    <t xml:space="preserve">Ticket Lifecycle report </t>
  </si>
  <si>
    <t>Click on the “View Access” module.</t>
  </si>
  <si>
    <t>A page is displayed showing the owner and users who have access to the memo.</t>
  </si>
  <si>
    <t>Update workflow</t>
  </si>
  <si>
    <t>Should display a successful alert message such as "You have successfully created your first workflow." if it's the first workflow created</t>
  </si>
  <si>
    <t>APP Toggle</t>
  </si>
  <si>
    <t>The selected memo is opened in edit mode, allowing the user to modify its content and save the changes.</t>
  </si>
  <si>
    <t>Click on the “Cancel” module.</t>
  </si>
  <si>
    <t>The current page  is canceled, and the user is returned to the previous page changes</t>
  </si>
  <si>
    <t>Click on ticket life cycle report</t>
  </si>
  <si>
    <t>Should download the ticket life cycle report</t>
  </si>
  <si>
    <t>Hover over the App Toggle button without clicking.</t>
  </si>
  <si>
    <t>A hover message appears saying, "You can click here to access your other 1Gov applications."</t>
  </si>
  <si>
    <t>MEMO DRAFT REVIEW</t>
  </si>
  <si>
    <t>View Workflow item page</t>
  </si>
  <si>
    <t>Should display Updated workflow item detail</t>
  </si>
  <si>
    <t>Click on "Memo Draft REVIEW"</t>
  </si>
  <si>
    <t>A page is displayed showing all memos drafts review allowing the user to review.</t>
  </si>
  <si>
    <t>Click on the App Toggle button</t>
  </si>
  <si>
    <t>A dropdown or overlay menu appears showing the Application icons:
1Gov ECMS, Gov Drive, Gov InMail</t>
  </si>
  <si>
    <t>Options for View are displayed, allowing the user to only review the memo details</t>
  </si>
  <si>
    <t>Click on the “Review” module.</t>
  </si>
  <si>
    <t>The memo opens in review mode, allowing the user to review content, provide comments</t>
  </si>
  <si>
    <t>A slide page opens displaying all feedback and comments provided by reviewers for the selected memo.</t>
  </si>
  <si>
    <t>Suspend Worflow Item</t>
  </si>
  <si>
    <t>A page or dialog is displayed showing the owner and users who have access to the memo.</t>
  </si>
  <si>
    <t>NOTIFICATION BELL</t>
  </si>
  <si>
    <t>Notification Bell</t>
  </si>
  <si>
    <t>Click on Suspend button</t>
  </si>
  <si>
    <t>Workflow items should be suspended</t>
  </si>
  <si>
    <t>Click on the notification bell</t>
  </si>
  <si>
    <t>A dropdown menu appears showing a list of new notifications with relevant details /No New Notification</t>
  </si>
  <si>
    <t>View Queue Tab</t>
  </si>
  <si>
    <t>Click on Queue tab</t>
  </si>
  <si>
    <t>Should display Queue page</t>
  </si>
  <si>
    <t>PROFILE</t>
  </si>
  <si>
    <t>Profile</t>
  </si>
  <si>
    <t>Click on profile</t>
  </si>
  <si>
    <t>Redirects to the user’s profile page when clicked. Profile displays User First Name | Last Name | Email Address| Phone Number|
Role | Change Password</t>
  </si>
  <si>
    <t>CHANGE PASSWORD</t>
  </si>
  <si>
    <t>Change Password</t>
  </si>
  <si>
    <t>Queue Type Tab</t>
  </si>
  <si>
    <t>Click on change password</t>
  </si>
  <si>
    <t>Dropdown displays Current Password| New password| New password again | Save / Close</t>
  </si>
  <si>
    <t>Click on save without filling the Fields</t>
  </si>
  <si>
    <t>Display validation messages: Current Password required | New Password required |Enter New Password again</t>
  </si>
  <si>
    <t>Click on Queue type tab</t>
  </si>
  <si>
    <t>Should display Queue type page</t>
  </si>
  <si>
    <t>Input correct details to change password</t>
  </si>
  <si>
    <t>Password changed  successfully</t>
  </si>
  <si>
    <t>Satus Tab</t>
  </si>
  <si>
    <t>Click on status tab</t>
  </si>
  <si>
    <t>Should display status detail</t>
  </si>
  <si>
    <t xml:space="preserve">             CREATE ROOM</t>
  </si>
  <si>
    <t>Create Room</t>
  </si>
  <si>
    <t>Update Queue Item</t>
  </si>
  <si>
    <t>Navigate to the Rooms section from the main dashboard.</t>
  </si>
  <si>
    <t>List of total number Room, In-active room, active rooms and private rooms are displayed along with name, Url and action buttons.</t>
  </si>
  <si>
    <t>Click on create room button</t>
  </si>
  <si>
    <t>Displays notification that reads 'Create a New Room'</t>
  </si>
  <si>
    <t>Click on queue tab</t>
  </si>
  <si>
    <t>Should display queue detail</t>
  </si>
  <si>
    <t>Click on the action button and select the Update item on the list</t>
  </si>
  <si>
    <t>Should display Queue Update page</t>
  </si>
  <si>
    <t>Name Room</t>
  </si>
  <si>
    <t>Input preferred name in alphanumeric or symbol format</t>
  </si>
  <si>
    <t>Edit Name</t>
  </si>
  <si>
    <t>The name field should be displayed</t>
  </si>
  <si>
    <t>Edit Description</t>
  </si>
  <si>
    <t>Input desired room url</t>
  </si>
  <si>
    <t>The description field should be displayed</t>
  </si>
  <si>
    <t>Input preferred url in alphanumeric or symbol format</t>
  </si>
  <si>
    <t>Click save button</t>
  </si>
  <si>
    <t>Queue item should be updated succesfully</t>
  </si>
  <si>
    <t>Input access code</t>
  </si>
  <si>
    <t>Input preferred list of alphanumeric values</t>
  </si>
  <si>
    <t>Click cancel button</t>
  </si>
  <si>
    <t>An alert should be displayed with "Are you sure you want to cancel? You wont be able to complete this operation!"</t>
  </si>
  <si>
    <t>Click Ok button</t>
  </si>
  <si>
    <t>Click checklist</t>
  </si>
  <si>
    <t>The user should be redirected to the queue page</t>
  </si>
  <si>
    <t>Immeditaely ticks the boxes upon marking</t>
  </si>
  <si>
    <t>Click create room</t>
  </si>
  <si>
    <t>Room Created Successfully!</t>
  </si>
  <si>
    <t>Click cancel</t>
  </si>
  <si>
    <t>Room creation menu closes</t>
  </si>
  <si>
    <t>Click on create room again and input existing details in the url field</t>
  </si>
  <si>
    <t>The url has already been taken.</t>
  </si>
  <si>
    <t>Create Room (Attempt to create room, Name Room with empty field)</t>
  </si>
  <si>
    <t>Leave Name Room field empty</t>
  </si>
  <si>
    <t>Input preferred list of alphanumeric values or symbol format</t>
  </si>
  <si>
    <t xml:space="preserve">Update Queue type Item </t>
  </si>
  <si>
    <t>Pops a notification please fill out this field message</t>
  </si>
  <si>
    <t>Date : 13th April 2026</t>
  </si>
  <si>
    <t>Display my workflow page</t>
  </si>
  <si>
    <t>Click on queue type tab</t>
  </si>
  <si>
    <t>Display queue type detail</t>
  </si>
  <si>
    <t>Display Queue type Update page</t>
  </si>
  <si>
    <t>Edit Queue Name</t>
  </si>
  <si>
    <t>The name field should be editable</t>
  </si>
  <si>
    <t>Edit Queue type name</t>
  </si>
  <si>
    <t>The queue type name field should be editable</t>
  </si>
  <si>
    <t>Create Room (Attempt to create room, Room Url with empty field)</t>
  </si>
  <si>
    <t>Edit description</t>
  </si>
  <si>
    <t>The description field should be editable</t>
  </si>
  <si>
    <t>Leave Room url field empty</t>
  </si>
  <si>
    <t>Queue-type item should be updated successfully</t>
  </si>
  <si>
    <t xml:space="preserve">Pops a notification please fill out this field error message </t>
  </si>
  <si>
    <t>Update status Item</t>
  </si>
  <si>
    <t>Display status page</t>
  </si>
  <si>
    <t>Display status Update page</t>
  </si>
  <si>
    <t>Status item should be updated successfully</t>
  </si>
  <si>
    <t>The user should be redirected to the status page</t>
  </si>
  <si>
    <t>Linked status Item (trigger/suspend/hide from resource)</t>
  </si>
  <si>
    <t>SCHEDULE MEETING</t>
  </si>
  <si>
    <t>Display queue type page</t>
  </si>
  <si>
    <t>Click on the action button and select link-statuses on the list</t>
  </si>
  <si>
    <t>Display statuses for queue type page</t>
  </si>
  <si>
    <t>Click on trigger button</t>
  </si>
  <si>
    <t>Displays Update Trigger for Queue Type page</t>
  </si>
  <si>
    <t>Select trigger name</t>
  </si>
  <si>
    <t>Schedule Meeting</t>
  </si>
  <si>
    <t>User should be able to select from the list of the trigger names</t>
  </si>
  <si>
    <t>FORMS</t>
  </si>
  <si>
    <t>Enter summary field</t>
  </si>
  <si>
    <t>User enters text in the summary field</t>
  </si>
  <si>
    <t>Enter message field</t>
  </si>
  <si>
    <t>The user enters text in the message field</t>
  </si>
  <si>
    <t>Select next queue type</t>
  </si>
  <si>
    <t>User should be able to select from the list of the next queue type</t>
  </si>
  <si>
    <t>Select next status</t>
  </si>
  <si>
    <t>User should be able to select from the list of the next status</t>
  </si>
  <si>
    <t>Click on schedule meeting</t>
  </si>
  <si>
    <t>The schedule meeting box pops up</t>
  </si>
  <si>
    <t>An alert should be displayed with "Are you sure you want to update?</t>
  </si>
  <si>
    <t>The user should be redirected to the Statuses for Queue Type page</t>
  </si>
  <si>
    <t>Fill all input field correctly and click send invite</t>
  </si>
  <si>
    <t>invite is successfully created</t>
  </si>
  <si>
    <t>Click suspend/unsuspend link status</t>
  </si>
  <si>
    <t>Should display an alert message "Suspend/unsuspend this status? "</t>
  </si>
  <si>
    <t>linked status should be suspended/unsuspended successfully</t>
  </si>
  <si>
    <t>Create a Form</t>
  </si>
  <si>
    <t xml:space="preserve">Clck on send Invite </t>
  </si>
  <si>
    <t xml:space="preserve">Notification pops up: Invite sent succesfully </t>
  </si>
  <si>
    <t>Click Hide status from resource button</t>
  </si>
  <si>
    <t>A successful alert message " This status is now hidden from any Resource" should be displayed</t>
  </si>
  <si>
    <t>Click Show status to resource button</t>
  </si>
  <si>
    <t>A successful alert message " This status is now visible to any Resource" should be displayed</t>
  </si>
  <si>
    <t>From the Menu click on Form</t>
  </si>
  <si>
    <t>A sub menu create form button and all form is displayed</t>
  </si>
  <si>
    <t xml:space="preserve">Create Status </t>
  </si>
  <si>
    <t>Schedule Meeting (Empty field  )</t>
  </si>
  <si>
    <t>Click on Create form sub -menu</t>
  </si>
  <si>
    <t>Should display Create form page</t>
  </si>
  <si>
    <t>End test</t>
  </si>
  <si>
    <t>Click on add status button</t>
  </si>
  <si>
    <t>User should be directed to new status page</t>
  </si>
  <si>
    <t>Select ticket status from the list</t>
  </si>
  <si>
    <t>User should be able to select ticket status from the list</t>
  </si>
  <si>
    <t xml:space="preserve">leave all input field empty </t>
  </si>
  <si>
    <t>Error notification: the date field is requires, the time field is required, the title field is required</t>
  </si>
  <si>
    <t>Enter priority</t>
  </si>
  <si>
    <t>User should be able to enter priority</t>
  </si>
  <si>
    <t>Internal Form</t>
  </si>
  <si>
    <t>Click on create button</t>
  </si>
  <si>
    <t>User should be able to create link-status</t>
  </si>
  <si>
    <t>User should not be able to proceed with creating statuses</t>
  </si>
  <si>
    <t>Enter name of form</t>
  </si>
  <si>
    <t>Schedule Meeting (Leave Meeting Title Empty )</t>
  </si>
  <si>
    <t>Should display name of the form</t>
  </si>
  <si>
    <t>Upload a fille</t>
  </si>
  <si>
    <t>File should be uploaded and displayed</t>
  </si>
  <si>
    <t>Suspend (My workflow/queue/queuetype and status )</t>
  </si>
  <si>
    <t>Enter description</t>
  </si>
  <si>
    <t>Fill all input field and leave meeting title empty</t>
  </si>
  <si>
    <t>Error notification: the Meeting field is required</t>
  </si>
  <si>
    <t>Select a form type (Internal)</t>
  </si>
  <si>
    <t>Form type radio button should be selected</t>
  </si>
  <si>
    <t>A sub menu create workflow button and My workflow is displayed</t>
  </si>
  <si>
    <t>Click on Create button</t>
  </si>
  <si>
    <t>Click on my workflow sub -menu</t>
  </si>
  <si>
    <t>Should display a successful message, "form created successfully.'</t>
  </si>
  <si>
    <t>Displays workflow page</t>
  </si>
  <si>
    <t>Drag &amp; drop form field</t>
  </si>
  <si>
    <t>Suspend workflow</t>
  </si>
  <si>
    <t>Should display form field in the form page</t>
  </si>
  <si>
    <t>Schedule Meeting (Leave Date Field Empty )</t>
  </si>
  <si>
    <t>Click on the action button and click on the suspend button</t>
  </si>
  <si>
    <t>Should suspend the workflow</t>
  </si>
  <si>
    <t>Click and Select Queue</t>
  </si>
  <si>
    <t>Should display Queue</t>
  </si>
  <si>
    <t>Click and Select Queue Type</t>
  </si>
  <si>
    <t>Should display Queue Type</t>
  </si>
  <si>
    <t>Select Queue tab</t>
  </si>
  <si>
    <t>Fill all input field and leave Date field empty</t>
  </si>
  <si>
    <t>Displays Queue</t>
  </si>
  <si>
    <t>Error notification: the date field is required</t>
  </si>
  <si>
    <t>Should suspend the queue</t>
  </si>
  <si>
    <t>Select Queue Type</t>
  </si>
  <si>
    <t>Displays Queue Types</t>
  </si>
  <si>
    <t>Should suspend the queue type</t>
  </si>
  <si>
    <t>Schedule Meeting (Leave Time Field Empty )</t>
  </si>
  <si>
    <t>Select Status</t>
  </si>
  <si>
    <t>Form Setting</t>
  </si>
  <si>
    <t>Should suspend the status</t>
  </si>
  <si>
    <t>Fill all input field and leave Time field empty</t>
  </si>
  <si>
    <t>Error notification: the time field is required</t>
  </si>
  <si>
    <t>Enable form setting</t>
  </si>
  <si>
    <t>Should display the start date and end date fields</t>
  </si>
  <si>
    <t>Enable form type (Internal)</t>
  </si>
  <si>
    <t>Form type should be enabled to internal</t>
  </si>
  <si>
    <t>Enter Initial email reponse message</t>
  </si>
  <si>
    <t>Should display email response message</t>
  </si>
  <si>
    <t>Schedule Meeting (Leave Internal)</t>
  </si>
  <si>
    <t>Click on Save</t>
  </si>
  <si>
    <t>Should display Created successfully.</t>
  </si>
  <si>
    <t xml:space="preserve">End test </t>
  </si>
  <si>
    <t>Fill all input field and leave Internal Users and Guest Email field empty</t>
  </si>
  <si>
    <t>Error notification: Empty Recipients, Kindly select Internal users or provide guest emails and try again</t>
  </si>
  <si>
    <t>External Form</t>
  </si>
  <si>
    <t>JOIN MEETING</t>
  </si>
  <si>
    <t>Join Meeting</t>
  </si>
  <si>
    <t>Select a form type (External)</t>
  </si>
  <si>
    <t>Form type external radio button should be selected</t>
  </si>
  <si>
    <t>Click on room url in dashboard</t>
  </si>
  <si>
    <t>Join a Meeting Room page' opens, displaying 1Gov logo and user name with fields to allow you input or paste URL / Room Name</t>
  </si>
  <si>
    <t>Click proceed with empty fields</t>
  </si>
  <si>
    <t>Empty Input fields are flagged with the 'Please, fill out this field' error message'</t>
  </si>
  <si>
    <t>Click proceed with invalid Meeting Room Link/Name</t>
  </si>
  <si>
    <t>Receive 'Invalid Room' error notification</t>
  </si>
  <si>
    <t>Click proceed with invalid email format</t>
  </si>
  <si>
    <t>Receive 'email format is wrong' error notification</t>
  </si>
  <si>
    <t>Click 'proceed' with valid details</t>
  </si>
  <si>
    <t>Participant joins the meeting Waiting Room</t>
  </si>
  <si>
    <t>Waiting Room if room is not yet started</t>
  </si>
  <si>
    <t>Waiting room preview details: Welcome message| Meeting Room Name | Meeting Host name| Dial-In details | Meeting Status: Meeting not started | Waiting for Host to Join. We will let you know once the host Start the Meeting | Re-join button</t>
  </si>
  <si>
    <t>Waiting Room if room is already started</t>
  </si>
  <si>
    <t>Waiting room preview details: Welcome message| Meeting Room Name | Meeting Host name| Dial-In details | Meeting Status: Number of Participants | Names of Participants (5 Max) | Access Code Status (Restricted/Unrestricted) | |Re-join button</t>
  </si>
  <si>
    <t>Input invalid Access Code</t>
  </si>
  <si>
    <t>Access Code is invalid ; this field can't be empty</t>
  </si>
  <si>
    <t>Input valid Access Code</t>
  </si>
  <si>
    <t>Access Code readable</t>
  </si>
  <si>
    <t>Click Proceed with valid details</t>
  </si>
  <si>
    <t>Participant joins the ongoing meeting</t>
  </si>
  <si>
    <t>MANAGE ROOM</t>
  </si>
  <si>
    <t>Enable form type (external radio button)</t>
  </si>
  <si>
    <t>Form type should be enabled to external radio button</t>
  </si>
  <si>
    <t>MANAGE ROOM - VIEW ATTENDANCE</t>
  </si>
  <si>
    <t>View Attendance</t>
  </si>
  <si>
    <t>Click on Manage Room</t>
  </si>
  <si>
    <t>Dropdown options display: 'View Attendance', 'CopyMeeting Link', 'Access code' and 'Users limit'</t>
  </si>
  <si>
    <t>Inter MDA Form</t>
  </si>
  <si>
    <t>Click on View Attendance</t>
  </si>
  <si>
    <t>Navigates the user to the attendance room.</t>
  </si>
  <si>
    <t>Click on View Participants</t>
  </si>
  <si>
    <t>Displays the participants in the meeting, including their full name, email, status, date, and time.</t>
  </si>
  <si>
    <t>Click on CSV or Excel or PDF Button</t>
  </si>
  <si>
    <t>Automatically downloads the record to your device in the specified file format.</t>
  </si>
  <si>
    <t>Click on Print</t>
  </si>
  <si>
    <t>Opens a modal window to select a printer for printing</t>
  </si>
  <si>
    <t>Select a form type (Inter MDA)</t>
  </si>
  <si>
    <t>Additional form fields such as MDAs and grade levels should be displayed</t>
  </si>
  <si>
    <t>Select an MDA from the drop-down</t>
  </si>
  <si>
    <t>Click on Copy</t>
  </si>
  <si>
    <t>MDAs should be selected and displayed in the bread crumbs</t>
  </si>
  <si>
    <t>Copies the record to your clipboard, allowing you to paste it into a text editor.</t>
  </si>
  <si>
    <t>Select all MDAs, if you want all MDAs to be selected</t>
  </si>
  <si>
    <t>MDA all should be displayed in the bread crumbs</t>
  </si>
  <si>
    <t>Select grade level from the drop-down</t>
  </si>
  <si>
    <t>Grade level should be selected and displayed in the bread crumbs</t>
  </si>
  <si>
    <t>Select all grade level, if you want all grade level to be selected</t>
  </si>
  <si>
    <t>grade level all should be displayed in the bread crumbs</t>
  </si>
  <si>
    <t>MANAGE ROOM - COPY MEETING LINK</t>
  </si>
  <si>
    <t>Copy Meeting Link</t>
  </si>
  <si>
    <t>Dropdown options display: 'View Attendance', 'Copy Meeting Link', 'Access code' and 'Users limit'</t>
  </si>
  <si>
    <t>Click on Copy Meeting Link</t>
  </si>
  <si>
    <t>User gets an alert that meeting link has been copied successfully, you can paste in any text area or text editor.</t>
  </si>
  <si>
    <t>MANAGE ROOM - ACCESS CODE</t>
  </si>
  <si>
    <t>Access Code</t>
  </si>
  <si>
    <t>Click on Access Code</t>
  </si>
  <si>
    <t>Manage access code opens displaying: 'You are about to change your current access code to new. Enter your new access code below or click on "Auto Generate'</t>
  </si>
  <si>
    <t>Click auto generate</t>
  </si>
  <si>
    <t>auto generate displays a generated access code</t>
  </si>
  <si>
    <t>Click on All form sub -menu</t>
  </si>
  <si>
    <t>Display All form page</t>
  </si>
  <si>
    <t>Click checkbox to remove access code</t>
  </si>
  <si>
    <t>field displays 'noaccesscode'</t>
  </si>
  <si>
    <t>View forms created</t>
  </si>
  <si>
    <t>Display all form item</t>
  </si>
  <si>
    <t>dialogue box closes</t>
  </si>
  <si>
    <t>View Internal Form</t>
  </si>
  <si>
    <t>Access Code (with empty field)</t>
  </si>
  <si>
    <t>Click on internal form tab</t>
  </si>
  <si>
    <t>Display all internal form created</t>
  </si>
  <si>
    <t>Click on the action button</t>
  </si>
  <si>
    <t>Should display share, update form, view form and suspend form</t>
  </si>
  <si>
    <t>Leave Access code field blank</t>
  </si>
  <si>
    <t>Click on view form button</t>
  </si>
  <si>
    <t>Should display internal form page</t>
  </si>
  <si>
    <t>notification appears please fill out this field appears</t>
  </si>
  <si>
    <t>View External Form</t>
  </si>
  <si>
    <t>Display all external form created</t>
  </si>
  <si>
    <t>MANAGE ROOM - COPY ACCESS CODE</t>
  </si>
  <si>
    <t>Copy Access Code</t>
  </si>
  <si>
    <t>Should display external form page</t>
  </si>
  <si>
    <t>Dropdown options display: 'View Attendance', 'Copy Meeting Link', 'Copy Access Code', 'Access code' and 'Users limit'</t>
  </si>
  <si>
    <t>Fill a Form (External)</t>
  </si>
  <si>
    <t>Click on  Copy Access Code</t>
  </si>
  <si>
    <t>Users receive an alert confirming that the access code has been successfully copied and is ready to paste anywhere.</t>
  </si>
  <si>
    <t>Click on all form sub -menu</t>
  </si>
  <si>
    <t>Displays form view page</t>
  </si>
  <si>
    <t>Click on external form tab</t>
  </si>
  <si>
    <t>Display external form view page</t>
  </si>
  <si>
    <t>Click on the action button and select the view form item on the list</t>
  </si>
  <si>
    <t>Displays the external form to be filled</t>
  </si>
  <si>
    <t>MANAGE ROOM - USER LIMIT</t>
  </si>
  <si>
    <t>Enter Title</t>
  </si>
  <si>
    <t>The title field should be enabled and entry accepted</t>
  </si>
  <si>
    <t>Enter first name</t>
  </si>
  <si>
    <t>The first name field should be enabled and entry accepted</t>
  </si>
  <si>
    <t>User Limit</t>
  </si>
  <si>
    <t>Enter last name</t>
  </si>
  <si>
    <t>The last name field should be enabled and entry accepted</t>
  </si>
  <si>
    <t>Enter phone number</t>
  </si>
  <si>
    <t>The phone number field should be enabled and entry accepted</t>
  </si>
  <si>
    <t>Enter email address</t>
  </si>
  <si>
    <t>The email address field should be enabled and entry accepted</t>
  </si>
  <si>
    <t>File attachment</t>
  </si>
  <si>
    <t>PDF, jpeg, xlx, png file should be attached successfully</t>
  </si>
  <si>
    <t>Click submit button</t>
  </si>
  <si>
    <t>A successful alert message should be displayed with "Please check your email for further information. "</t>
  </si>
  <si>
    <t>Click on user limit</t>
  </si>
  <si>
    <t>Dialogue box opens: displaying 'Manage user limit, You are about to change your current user limit. Choose your need carefully'</t>
  </si>
  <si>
    <t>Verify email alert notification</t>
  </si>
  <si>
    <t>A mail notification should be sent to the email address entered while filling the form</t>
  </si>
  <si>
    <t>Click on submit a response</t>
  </si>
  <si>
    <t>The page should be redirected to the fill a form page</t>
  </si>
  <si>
    <t>In the user limit box, click the arrow up</t>
  </si>
  <si>
    <t>user limit number increases</t>
  </si>
  <si>
    <t>In the user limit box, click the arrow down</t>
  </si>
  <si>
    <t>user limit number decreases</t>
  </si>
  <si>
    <t xml:space="preserve">Type in User limit </t>
  </si>
  <si>
    <t xml:space="preserve">Displays user limit typed in </t>
  </si>
  <si>
    <t>click on cancel</t>
  </si>
  <si>
    <t>Displays 'User Limit changed Successfully!'</t>
  </si>
  <si>
    <t>Fill a Form (Internal)</t>
  </si>
  <si>
    <t>User Limit (leave user limit field empty)</t>
  </si>
  <si>
    <t>Click on Internal form tab</t>
  </si>
  <si>
    <t>Display Internal form view page</t>
  </si>
  <si>
    <t>Should display the external form to be filled</t>
  </si>
  <si>
    <t xml:space="preserve">Leave user limit field empty </t>
  </si>
  <si>
    <t>User Limit (User limit field less that 2)</t>
  </si>
  <si>
    <t>Share Form Via Whatsapp</t>
  </si>
  <si>
    <t>Type in User limit less than 2</t>
  </si>
  <si>
    <t>View form created</t>
  </si>
  <si>
    <t>Displays 'value must be greater than or equal to 2'</t>
  </si>
  <si>
    <t>Click on the More option button</t>
  </si>
  <si>
    <t>Display a drop down with information as Share, Update form, Suspend Form</t>
  </si>
  <si>
    <t>Click on Share button</t>
  </si>
  <si>
    <t>Display a modal page with sharable link and social media platform to send link</t>
  </si>
  <si>
    <t>Click on whatsapp button</t>
  </si>
  <si>
    <t>Display whatsapp page with shareable link</t>
  </si>
  <si>
    <t>MEETING ROOM</t>
  </si>
  <si>
    <t>View link</t>
  </si>
  <si>
    <t>Display the link</t>
  </si>
  <si>
    <t>Click on continue to chat button</t>
  </si>
  <si>
    <t>Display whatsap page with option to download whatsap or continue with web whatsapp</t>
  </si>
  <si>
    <t>Click on continue to web button</t>
  </si>
  <si>
    <t>Should continue with whatsap web</t>
  </si>
  <si>
    <t>Select a user and send</t>
  </si>
  <si>
    <t>Link should be sent to the selected user</t>
  </si>
  <si>
    <t>AUDIO MODE SELECTION</t>
  </si>
  <si>
    <t>Audio Mode Selection</t>
  </si>
  <si>
    <t>Click on start meeting</t>
  </si>
  <si>
    <t>Meeting Room opens</t>
  </si>
  <si>
    <t>On Opening Room, Screen Shows for one seconds 'Audio is not connected you will not hear the conversation in th meeting'</t>
  </si>
  <si>
    <t>Share Form Via Mail</t>
  </si>
  <si>
    <t>closes immediately audio connection is established</t>
  </si>
  <si>
    <t>Room Features</t>
  </si>
  <si>
    <t>The Meeting has the following features:1 Gov logo | User name, Date, Month, Year | Participants' List | Recording | Copy link icon | E-cinema | Microphone | Audio | Share Webcam | Share Screen  | Raise Hand | cc | Group chat | Actions | leave button</t>
  </si>
  <si>
    <t>CHAT</t>
  </si>
  <si>
    <t>Click on Mail button</t>
  </si>
  <si>
    <t>Display mail page with shareable link</t>
  </si>
  <si>
    <t>Chat</t>
  </si>
  <si>
    <t>Click 'Group Chat'</t>
  </si>
  <si>
    <t>Chat box field pulls out with the input field, emoji icon &amp; send button at the bottom of the box.</t>
  </si>
  <si>
    <t>Share Form Via Twitter</t>
  </si>
  <si>
    <t>Close the dialogue box that reads "Messages can only be seen by people in the call and are deleted when the call ends."</t>
  </si>
  <si>
    <t>Dialogue box closes</t>
  </si>
  <si>
    <t>Send a message using the chat box</t>
  </si>
  <si>
    <t>Message appears to all participants on the call</t>
  </si>
  <si>
    <t>Click 'Start a private chat' and send private chat to individual participant</t>
  </si>
  <si>
    <t>Message appears to selected participant</t>
  </si>
  <si>
    <t>CONTACTS</t>
  </si>
  <si>
    <t>Click on 'Close'</t>
  </si>
  <si>
    <t>Chat popup closes</t>
  </si>
  <si>
    <t>Click on Twitter button</t>
  </si>
  <si>
    <t>Display twitter page with shareable link</t>
  </si>
  <si>
    <t>COPY LINK</t>
  </si>
  <si>
    <t>Click copy link icon</t>
  </si>
  <si>
    <t>Displays 'link copied to clipboard'</t>
  </si>
  <si>
    <t>Share Form Via Facebook</t>
  </si>
  <si>
    <t>Create a Contacts</t>
  </si>
  <si>
    <t xml:space="preserve">PARTICIPANTS LIST	
		</t>
  </si>
  <si>
    <t>Participants List</t>
  </si>
  <si>
    <t>Click on Facebook button</t>
  </si>
  <si>
    <t>Display Facebook page with shareable link</t>
  </si>
  <si>
    <t>Contact Form</t>
  </si>
  <si>
    <t>Click on Participant list icon</t>
  </si>
  <si>
    <t>A dropdown shows: Partcipants| Everyone| Raised hands| Search bar | list of users | Moderator | presenter| mute button | action button.</t>
  </si>
  <si>
    <t>Click on everyone</t>
  </si>
  <si>
    <t>Displays the list of participants in the room</t>
  </si>
  <si>
    <t>Click on raise hands</t>
  </si>
  <si>
    <t>Displays the list of particpants raising hands only</t>
  </si>
  <si>
    <t>Update Form</t>
  </si>
  <si>
    <t>use serach bar to find particpant</t>
  </si>
  <si>
    <t>displays desired search name</t>
  </si>
  <si>
    <t>Use the  participant actions button</t>
  </si>
  <si>
    <t>Displays Change role: Moderator/ Presenter | Mute user | Private chat | Remove User</t>
  </si>
  <si>
    <t>Click 'Presenter' to make a participant have presenter privileges</t>
  </si>
  <si>
    <t>Participant has the following privileges added: Start a Poll | Manage presentations | Share an external video | Select random participant in the Action Button</t>
  </si>
  <si>
    <t>Click on contact in the menu</t>
  </si>
  <si>
    <t>Click "Moderator" to add/remove privileges</t>
  </si>
  <si>
    <t>Should display contact page</t>
  </si>
  <si>
    <t>Participant gains/losses Moderator privileges</t>
  </si>
  <si>
    <t>Click "Remove User" to evict a meeting participant</t>
  </si>
  <si>
    <t>Remove User confirmation dialogue box opens with Prevent this User from rejoing the session | Yes | No</t>
  </si>
  <si>
    <t>Click on create contact</t>
  </si>
  <si>
    <t>Should display contact form page.</t>
  </si>
  <si>
    <t>Click on Update Form button</t>
  </si>
  <si>
    <t>Display Form page with fields to edit</t>
  </si>
  <si>
    <t>Select "Yes"</t>
  </si>
  <si>
    <t>Participant is logged out of the session</t>
  </si>
  <si>
    <t>Enter Information to edit the field</t>
  </si>
  <si>
    <t>Display information edited</t>
  </si>
  <si>
    <t xml:space="preserve">Enter First name </t>
  </si>
  <si>
    <t xml:space="preserve">FirstName entered should be accepted </t>
  </si>
  <si>
    <t>Check the "Prevent this Participant from rejoining the session" box to remove permanently</t>
  </si>
  <si>
    <t>Click On Save</t>
  </si>
  <si>
    <t>Participant is removed and prevented from rejoining the session while the same session is still active</t>
  </si>
  <si>
    <t>Display a successful message, " Updated successful"</t>
  </si>
  <si>
    <t>Enter Last name</t>
  </si>
  <si>
    <t xml:space="preserve">LastName entered should be accepted </t>
  </si>
  <si>
    <t>Select "No"</t>
  </si>
  <si>
    <t>Remove Participant action is cancelled</t>
  </si>
  <si>
    <t>Select private chat</t>
  </si>
  <si>
    <t>Chat menu displays and only selected partcipant can see the sent messages</t>
  </si>
  <si>
    <t>The valid Email address should be accepted</t>
  </si>
  <si>
    <t>Close chat box</t>
  </si>
  <si>
    <t>Chat box closes</t>
  </si>
  <si>
    <t>Select mute user to mute participant</t>
  </si>
  <si>
    <t>The phone number should be accepted</t>
  </si>
  <si>
    <t>participant microphone is muted</t>
  </si>
  <si>
    <t>Re-select to unmute</t>
  </si>
  <si>
    <t>Participants microphone is unmuted</t>
  </si>
  <si>
    <t>Address 1 &amp; Address 2</t>
  </si>
  <si>
    <t xml:space="preserve">The address 1 &amp; address 2 should be accepted </t>
  </si>
  <si>
    <t>Update  Internal Form</t>
  </si>
  <si>
    <t>Close participant icon</t>
  </si>
  <si>
    <t>Select country</t>
  </si>
  <si>
    <t>The country should be selected and accepted</t>
  </si>
  <si>
    <t>Select state</t>
  </si>
  <si>
    <t>The state should be selected and accepted</t>
  </si>
  <si>
    <t>Click on internal forms tab</t>
  </si>
  <si>
    <t>Displays internal form page</t>
  </si>
  <si>
    <t>Enter city</t>
  </si>
  <si>
    <t>E-CINEMA</t>
  </si>
  <si>
    <t>The city should be accepted</t>
  </si>
  <si>
    <t>Display internal Form page with fields to edit</t>
  </si>
  <si>
    <t>E-Cinema</t>
  </si>
  <si>
    <t>Select life cycle stages</t>
  </si>
  <si>
    <t>The life cycle stage should be selected and accepted</t>
  </si>
  <si>
    <t>Select Date of Birth</t>
  </si>
  <si>
    <t>Click e-cinema icon to share external video</t>
  </si>
  <si>
    <t>The date of birth should be accepted</t>
  </si>
  <si>
    <t>Share External Video page opens</t>
  </si>
  <si>
    <t>Page should be directed to the main form page</t>
  </si>
  <si>
    <t>Enter Linkedin link</t>
  </si>
  <si>
    <t>Paste a link in the dialogue box</t>
  </si>
  <si>
    <t>URL Input field is editable</t>
  </si>
  <si>
    <t>The Linkedin should be accepted</t>
  </si>
  <si>
    <t>Click ''Broadcast"</t>
  </si>
  <si>
    <t>Video is uploaded to the Video Player on the Presentation screen. Video plays automatically</t>
  </si>
  <si>
    <t>Enter Twitter link</t>
  </si>
  <si>
    <t>Click on Go fullscreen</t>
  </si>
  <si>
    <t>The twitter link should be accepted</t>
  </si>
  <si>
    <t>Video takes the entire screen</t>
  </si>
  <si>
    <t>Press esc button on the keyboard to exit full screen</t>
  </si>
  <si>
    <t>Update External Form</t>
  </si>
  <si>
    <t>Video returns to minimized screen</t>
  </si>
  <si>
    <t>Click stop broadcast to stop video share</t>
  </si>
  <si>
    <t>A diaglouge box appears displaying "The session will end for everyone. You can't undo this action"</t>
  </si>
  <si>
    <t>Click on external forms tab</t>
  </si>
  <si>
    <t>Displays external form page</t>
  </si>
  <si>
    <t>Click on Dont End</t>
  </si>
  <si>
    <t>Video continues to play</t>
  </si>
  <si>
    <t>Display external Form page with fields to edit</t>
  </si>
  <si>
    <t>Click on 'End E-cinema'</t>
  </si>
  <si>
    <t>Video player is removed and Presentation screen is returned</t>
  </si>
  <si>
    <t>SHARE WEBCAM</t>
  </si>
  <si>
    <t>Share Webcam</t>
  </si>
  <si>
    <t>Click on add field</t>
  </si>
  <si>
    <t>Click on share webcam icon</t>
  </si>
  <si>
    <t>A display of multiple checkboxes (Prefix, Middle name, Website URL) should be displayed</t>
  </si>
  <si>
    <t>Camera turns on to share live video</t>
  </si>
  <si>
    <t>click the picture in picture icon to minimize camera</t>
  </si>
  <si>
    <t>camera minimizes to the bottom right side of the screen</t>
  </si>
  <si>
    <t>Suspend Internal Form</t>
  </si>
  <si>
    <t>Check on the prefix box &amp; Enter Prefix</t>
  </si>
  <si>
    <t>Click on minimized output and drag around the screen</t>
  </si>
  <si>
    <t>Minimized camera video is movable around the screen</t>
  </si>
  <si>
    <t>The prefix field should be toggled on and the prefix entered should be accepted</t>
  </si>
  <si>
    <t>Minimize meeting conference screen</t>
  </si>
  <si>
    <t>camera video continues to display outside the conferencing room</t>
  </si>
  <si>
    <t>Check the Middle name box &amp; Enter Middle name</t>
  </si>
  <si>
    <t>The middle name field should be toggled on and the Middle name entered is accepted</t>
  </si>
  <si>
    <t xml:space="preserve">Check the website URL </t>
  </si>
  <si>
    <t>Click on Suspend Form button</t>
  </si>
  <si>
    <t>The website URL field should be toggled on and the website URL entered should be accepted</t>
  </si>
  <si>
    <t>Display a successful message, " Suspended successfully"</t>
  </si>
  <si>
    <t>The contact should be saved successfully</t>
  </si>
  <si>
    <t>Click back to tab on minized camera video</t>
  </si>
  <si>
    <t>camera video returns to conference room in fullscreen</t>
  </si>
  <si>
    <t>The contact form should be closed</t>
  </si>
  <si>
    <t>Stop webcam</t>
  </si>
  <si>
    <t>Video camera is turned off</t>
  </si>
  <si>
    <t xml:space="preserve">Suspend External Form </t>
  </si>
  <si>
    <t>Display external form page</t>
  </si>
  <si>
    <t>SHARE SCREEN</t>
  </si>
  <si>
    <t>Share Screen</t>
  </si>
  <si>
    <t>Click on share screen icon</t>
  </si>
  <si>
    <t>Screen share page opens displaying screen share options :Microsoft edge tab | Window | Entire Screen</t>
  </si>
  <si>
    <t>Update Contacts</t>
  </si>
  <si>
    <t>choose any of the avalaible options</t>
  </si>
  <si>
    <t>displays a preview of screen selected</t>
  </si>
  <si>
    <t>click on 'Also share system audio'</t>
  </si>
  <si>
    <t>system audio is selected</t>
  </si>
  <si>
    <t>Suspend Form</t>
  </si>
  <si>
    <t>Click share</t>
  </si>
  <si>
    <t>Click on The contact action button</t>
  </si>
  <si>
    <t>screen sharing begins with audio</t>
  </si>
  <si>
    <t>Should Display all the action options e.g. View and Update</t>
  </si>
  <si>
    <t>Click hide to dismiss screen share notification</t>
  </si>
  <si>
    <t>notification bar is is dismissed from screen</t>
  </si>
  <si>
    <t>Click on update</t>
  </si>
  <si>
    <t>Should display the contact update's page</t>
  </si>
  <si>
    <t>Click stop sharing</t>
  </si>
  <si>
    <t>screen share is dismissed</t>
  </si>
  <si>
    <t>START RECORDING</t>
  </si>
  <si>
    <t>Start Recording</t>
  </si>
  <si>
    <t>Click 'Start Recording"</t>
  </si>
  <si>
    <t>Dialogue box opens displaying "Kindly be aware that all activities will be recorded. To proceed click on start button below"</t>
  </si>
  <si>
    <t>Unsuspend Form</t>
  </si>
  <si>
    <t>Click 'start'</t>
  </si>
  <si>
    <t>recording begins</t>
  </si>
  <si>
    <t>Click 'pause recording'</t>
  </si>
  <si>
    <t>dialoguge appears to Dismiss or pause recording</t>
  </si>
  <si>
    <t>Navigate to form Item with Suspended Status</t>
  </si>
  <si>
    <t>Display all suspended form item</t>
  </si>
  <si>
    <t>Pause recording bar changes to resume recording</t>
  </si>
  <si>
    <t>Display a drop down with information as Share, Update form, Unsuspend Form</t>
  </si>
  <si>
    <t>Click on Unsuspend Form button</t>
  </si>
  <si>
    <t>Click on resume recording</t>
  </si>
  <si>
    <t>prompt to start recording appears</t>
  </si>
  <si>
    <t>Click on start</t>
  </si>
  <si>
    <t>recoding resumes</t>
  </si>
  <si>
    <t>Click on pause recording</t>
  </si>
  <si>
    <t>Click on dismiss</t>
  </si>
  <si>
    <t>recording ends</t>
  </si>
  <si>
    <t>ACTION BUTTON</t>
  </si>
  <si>
    <t>Action Button</t>
  </si>
  <si>
    <t>Click on the action button (:) button</t>
  </si>
  <si>
    <t>Displays the following actions: Re-join | Go full screen | polls | Settings</t>
  </si>
  <si>
    <t>Click on Re-join</t>
  </si>
  <si>
    <t>session reloads within a second.</t>
  </si>
  <si>
    <t>enlarged screen, focusing only on the meeting room content.</t>
  </si>
  <si>
    <t>Screen reverts back to its original, non-full-screen view</t>
  </si>
  <si>
    <t>POLLS</t>
  </si>
  <si>
    <t>Polls</t>
  </si>
  <si>
    <t>Click on polls</t>
  </si>
  <si>
    <t>Polling page pulls out, shows poll question field | answer field | add answers button</t>
  </si>
  <si>
    <t>The contact should be successfully updated</t>
  </si>
  <si>
    <t>Type in a poll question in the field and add poll answer</t>
  </si>
  <si>
    <t>Poll question and answer is displayed and saved</t>
  </si>
  <si>
    <t>Click on the "Add (+)" button to include more poll answers.</t>
  </si>
  <si>
    <t>A new answer field appears, allowing additional answers to be entered.</t>
  </si>
  <si>
    <t>Click on the "-" remove button</t>
  </si>
  <si>
    <t>The most recently added poll answer field is be removed from the poll options</t>
  </si>
  <si>
    <t>Click on 'publish polls'</t>
  </si>
  <si>
    <t>Poll is published and made visible to all participants in the meeting</t>
  </si>
  <si>
    <t>Click a polling option, click 'vote'</t>
  </si>
  <si>
    <t>polling view minimizes to the bottom left of the screen page</t>
  </si>
  <si>
    <t>Click on the view polls to expand</t>
  </si>
  <si>
    <t>Polling view displays live poll result by participants</t>
  </si>
  <si>
    <t>Click the close button to close poll</t>
  </si>
  <si>
    <t>The poll is closed</t>
  </si>
  <si>
    <t>Create Ticket In Contact</t>
  </si>
  <si>
    <t>SETTINGS</t>
  </si>
  <si>
    <t>In Contacts click the Action Button</t>
  </si>
  <si>
    <t>should display view/update</t>
  </si>
  <si>
    <t>Click on Settings</t>
  </si>
  <si>
    <t>The settings page opens, displaying the following configuration options: Device settings| Notifications | Layout | Manage Users | Take spot attendance</t>
  </si>
  <si>
    <t>In the view contacts click create Ticket</t>
  </si>
  <si>
    <t xml:space="preserve">should take you to Create Ticket Queue &amp; Queue type </t>
  </si>
  <si>
    <t>Search by Queues</t>
  </si>
  <si>
    <t>Displays a Queue item</t>
  </si>
  <si>
    <t>Search by Queue Type</t>
  </si>
  <si>
    <t>Displays a Queue Type</t>
  </si>
  <si>
    <t>Enter title as compulsory field</t>
  </si>
  <si>
    <t>DEVICE SETTINGS</t>
  </si>
  <si>
    <t>Displays title</t>
  </si>
  <si>
    <t>Displays description</t>
  </si>
  <si>
    <t>Device Settings</t>
  </si>
  <si>
    <t>Enter title for contact</t>
  </si>
  <si>
    <t xml:space="preserve">Displays contact title </t>
  </si>
  <si>
    <t>Click device settings</t>
  </si>
  <si>
    <t>The device settings page displays the following configuration options: video | video quality | Microphone | Speakers | Noise supression | echo cancellation | audio gain</t>
  </si>
  <si>
    <t>Enter issues here</t>
  </si>
  <si>
    <t>Write the issue you are facing 0/100 words</t>
  </si>
  <si>
    <t>Verify the Video section</t>
  </si>
  <si>
    <t>The default camera 'Integrated Webcam (0c45:64af)' is selected and displayed correctly.</t>
  </si>
  <si>
    <t>Bug noticed</t>
  </si>
  <si>
    <t>Enter complain/ Reasons</t>
  </si>
  <si>
    <t>Displays complain</t>
  </si>
  <si>
    <t>Enter Last name of contact</t>
  </si>
  <si>
    <t>Displays contact Last name</t>
  </si>
  <si>
    <t>Click on video quality</t>
  </si>
  <si>
    <t>drop down shows with the following menu : low, medium, high, high defination</t>
  </si>
  <si>
    <t>Enter Phone number of contact</t>
  </si>
  <si>
    <t>Displays contact Phone number</t>
  </si>
  <si>
    <t>Adjust Video Quality to low, Medium, High, High resolution</t>
  </si>
  <si>
    <t>The video quality setting changes to selected resolution</t>
  </si>
  <si>
    <t>Enter Email address of contact</t>
  </si>
  <si>
    <t>Displays contact Email address</t>
  </si>
  <si>
    <t>Click microphone</t>
  </si>
  <si>
    <t>drop down menu shows 'default- microphone (high definition audio device) | communications - microphone (high definition audio device) | microphone (high definition audio device)</t>
  </si>
  <si>
    <t>Enter House/ apartment Address</t>
  </si>
  <si>
    <t>Displays House/ apartment number</t>
  </si>
  <si>
    <t>Select a micriphone option</t>
  </si>
  <si>
    <t>The chosen microphone is set as the input device.</t>
  </si>
  <si>
    <t>Enter street detail</t>
  </si>
  <si>
    <t>Displays Street details</t>
  </si>
  <si>
    <t>Click on speakers</t>
  </si>
  <si>
    <t>drop down menu shows 'default- speakers (high definition audio device) | communications - speakers (high definition audio device) |Speakers (high definition audio device)</t>
  </si>
  <si>
    <t>Select a speaker option</t>
  </si>
  <si>
    <t>The chosen speaker is set as the input device.</t>
  </si>
  <si>
    <t xml:space="preserve">Auto Fill </t>
  </si>
  <si>
    <t>Click Auto Fill system auto fills details</t>
  </si>
  <si>
    <t>Click Test to verify audio output</t>
  </si>
  <si>
    <t>A test sound is played through the selected speakers</t>
  </si>
  <si>
    <t>Click Close to exit Device Settings</t>
  </si>
  <si>
    <t>Enter address line 2 credentials</t>
  </si>
  <si>
    <t>The Device Settings panel closes, and changes are applied</t>
  </si>
  <si>
    <t>Displays address line 2</t>
  </si>
  <si>
    <t>Search Country detail</t>
  </si>
  <si>
    <t>Displays country as nigeria</t>
  </si>
  <si>
    <t>NOTIFICATION SETTINGS</t>
  </si>
  <si>
    <t>Notifications</t>
  </si>
  <si>
    <t>Search State</t>
  </si>
  <si>
    <t>Displays state detail</t>
  </si>
  <si>
    <t>Click on notifications</t>
  </si>
  <si>
    <t>The notification page displays toggle buttons for the following options: Joined | Leave | New Message | Hand Raise | Error</t>
  </si>
  <si>
    <t>Enter City details</t>
  </si>
  <si>
    <t>Displays city</t>
  </si>
  <si>
    <t>Click on the toggle buttons to activate notification for each option</t>
  </si>
  <si>
    <t>The setting is toggled on or off based on user input.</t>
  </si>
  <si>
    <t>Enter postal zip/code</t>
  </si>
  <si>
    <t xml:space="preserve">Displays  postal code </t>
  </si>
  <si>
    <t>Click Close</t>
  </si>
  <si>
    <t>The notification settings panel closes.</t>
  </si>
  <si>
    <t xml:space="preserve">Attach File </t>
  </si>
  <si>
    <t xml:space="preserve">attach a file </t>
  </si>
  <si>
    <t xml:space="preserve">Signature </t>
  </si>
  <si>
    <t>Docu sign dry signature</t>
  </si>
  <si>
    <t>LAYOUT</t>
  </si>
  <si>
    <t>Displays ticket created successfully</t>
  </si>
  <si>
    <t>Layout</t>
  </si>
  <si>
    <t>Click on layout.</t>
  </si>
  <si>
    <t>Layout page displays color editing options | Adudio only mode | change layout | smart layout |focus on video | focus on presentation | focus on presenter | tiles in view</t>
  </si>
  <si>
    <t>Click on the available colors provided in layout</t>
  </si>
  <si>
    <t>Layout color changes to selected color</t>
  </si>
  <si>
    <t>Click on Edit Color</t>
  </si>
  <si>
    <t>The color editing interface opens, allowing you to select and apply new colors for the layout.</t>
  </si>
  <si>
    <t>Toggle Audio Only Mode.</t>
  </si>
  <si>
    <t>The interface switches to audio-only mode, disabling video feed.</t>
  </si>
  <si>
    <t>Select Smart Layout.</t>
  </si>
  <si>
    <t>The layout adjusts automatically to optimize video display based on participant activity.</t>
  </si>
  <si>
    <t>Select Focus on Video</t>
  </si>
  <si>
    <t>The interface focuses primarily on the video feed, minimizing other elements.</t>
  </si>
  <si>
    <t>Search Ticket By ID</t>
  </si>
  <si>
    <t>Select Focus on Presentation.</t>
  </si>
  <si>
    <t>The presentation content is maximized on the screen, while participants' videos are minimized</t>
  </si>
  <si>
    <t>Select Focus on Presenter.</t>
  </si>
  <si>
    <t>The presenter’s video feed is highlighted and enlarged on the screen.</t>
  </si>
  <si>
    <t>Click Update Everyone</t>
  </si>
  <si>
    <t>All participants’ interfaces are updated to reflect the selected layout changes.</t>
  </si>
  <si>
    <t>Drag the button to increase / decrease the maximum tiles to display within the window</t>
  </si>
  <si>
    <t>The maximum number of tiles to display is confirmed as per the settings.</t>
  </si>
  <si>
    <t>The layout panel closes</t>
  </si>
  <si>
    <t>Should display the contact view's page</t>
  </si>
  <si>
    <t>Select ticket tab</t>
  </si>
  <si>
    <t>Should displays ticket's page</t>
  </si>
  <si>
    <t>Enter Ticket ID</t>
  </si>
  <si>
    <t>The Ticket should be displayed when search by ID</t>
  </si>
  <si>
    <t>MANAGE USERS</t>
  </si>
  <si>
    <t>Manage Users</t>
  </si>
  <si>
    <t>Click on Manage Users</t>
  </si>
  <si>
    <t>The user management panel opens, showing the list of users management options : mute all users | mute all users except presenter | Disable Camera | Disable public chat | Disable private chat | Hide participants List</t>
  </si>
  <si>
    <t>Click Mute All Users</t>
  </si>
  <si>
    <t>All participants are muted</t>
  </si>
  <si>
    <t>Click Mute All Users Except Presenter</t>
  </si>
  <si>
    <t>View Form</t>
  </si>
  <si>
    <t>All participants except the presenter are muted</t>
  </si>
  <si>
    <t>Cick on Disable Camera</t>
  </si>
  <si>
    <t>Camera for all participants are disabled.</t>
  </si>
  <si>
    <t>Click on Disable Public chat</t>
  </si>
  <si>
    <t>Public chat is disbaled</t>
  </si>
  <si>
    <t>Click on hide participants list</t>
  </si>
  <si>
    <t xml:space="preserve">Participants list hides </t>
  </si>
  <si>
    <t>The manage users panel closes.</t>
  </si>
  <si>
    <t>TAKE SPOT ATTENDANCE</t>
  </si>
  <si>
    <t>Take Spot Attendance</t>
  </si>
  <si>
    <t>Click on Take Spot Attendance</t>
  </si>
  <si>
    <t>The spot attendance panel opens, displaying the total number of attendees</t>
  </si>
  <si>
    <t>Click Download</t>
  </si>
  <si>
    <t xml:space="preserve">The attendance list is downloaded as a file (e.g., CSV, Excel). Local stroage opens to store file format </t>
  </si>
  <si>
    <t>Create Note</t>
  </si>
  <si>
    <t>The spot attendance panel closes</t>
  </si>
  <si>
    <t>Click on the contact action button</t>
  </si>
  <si>
    <t>Select note tab</t>
  </si>
  <si>
    <t>Should display note creation modal</t>
  </si>
  <si>
    <t>END CALL</t>
  </si>
  <si>
    <t>End Call</t>
  </si>
  <si>
    <t>Enter Note</t>
  </si>
  <si>
    <t>The note typed in should be displayed</t>
  </si>
  <si>
    <t>Save Note</t>
  </si>
  <si>
    <t>Click the End Call Button</t>
  </si>
  <si>
    <t>The note entered should be saved/created</t>
  </si>
  <si>
    <t>A dropdown appears with the options: "End Room for All" and "Leave Room".</t>
  </si>
  <si>
    <t>Click End Room for All.</t>
  </si>
  <si>
    <t>The room ends for all participants, and all users are disconnected from the session</t>
  </si>
  <si>
    <t>Rejoin the room after ending for all.</t>
  </si>
  <si>
    <t>The room is no longer accessible as it has been ended for everyone. Host will have to start the meeting again.</t>
  </si>
  <si>
    <t>Start a new session and click the End Call Button</t>
  </si>
  <si>
    <t>The dropdown appears again with the same options: "End Room for All" and "Leave Room"</t>
  </si>
  <si>
    <t>Click Leave Room</t>
  </si>
  <si>
    <t>A dialogue box appears with the options: "Don’t Leave" and "Leave Session"</t>
  </si>
  <si>
    <t>Update Notes</t>
  </si>
  <si>
    <t>Click Don't leave in the dialogue box</t>
  </si>
  <si>
    <t>The dialogue box closes, and the user remains in the session. No action is taken</t>
  </si>
  <si>
    <t>Click Leave Session in the dialogue box.</t>
  </si>
  <si>
    <t>The user leaves the session, but it remains active for other participants</t>
  </si>
  <si>
    <t>Attempt to rejoin the room</t>
  </si>
  <si>
    <t>The user can rejoin the room as it is still active</t>
  </si>
  <si>
    <t>USER DASHBOARD</t>
  </si>
  <si>
    <t>Should display note(s) created</t>
  </si>
  <si>
    <t>RECORDINGS</t>
  </si>
  <si>
    <t>Click on Actions</t>
  </si>
  <si>
    <t>Should display update/delete action</t>
  </si>
  <si>
    <t>Should display modal note update modal</t>
  </si>
  <si>
    <t>Update required</t>
  </si>
  <si>
    <t>Update note</t>
  </si>
  <si>
    <t>The note should be editable</t>
  </si>
  <si>
    <t>Recordings</t>
  </si>
  <si>
    <t>Click Save</t>
  </si>
  <si>
    <t>Should save and display the edited note</t>
  </si>
  <si>
    <t>Navigate to the Recordings section on  dashboard</t>
  </si>
  <si>
    <t>The dashboard displays recordings with columns for Name, Parameters, Date, and Actions, Rows per page</t>
  </si>
  <si>
    <t>Click on Delete</t>
  </si>
  <si>
    <t>Should delete note</t>
  </si>
  <si>
    <t>Verify that each recording entry shows relevant parameters (e.g., number of participants, duration, and file size)</t>
  </si>
  <si>
    <t>The parameters (e.g., 5 Participants, 18 Minutes, 9MB) should be correctly displayed for each recording.</t>
  </si>
  <si>
    <t>Check the Date column for correct timestamp</t>
  </si>
  <si>
    <t>The correct date and time are displayed for each recording</t>
  </si>
  <si>
    <t xml:space="preserve">Click on Play Video </t>
  </si>
  <si>
    <t>Click on Download (3 Files) under the Actions column</t>
  </si>
  <si>
    <t>A dropdown or dialog box appears displaying available download options : Video and Audio (MP4) | Screenshare (MP4) | Chat(s) (TXT)</t>
  </si>
  <si>
    <t>Select each option one by one to ensure the download initiates.</t>
  </si>
  <si>
    <t>Selecting any of the options will start the respective download process</t>
  </si>
  <si>
    <t>Click on Manage under the Actions column.</t>
  </si>
  <si>
    <t>A dropdown or dialog box appears displaying Copy | Email recording</t>
  </si>
  <si>
    <t>A confirmation message appears indicating that the recording has been copied</t>
  </si>
  <si>
    <t>Click on Email Recording</t>
  </si>
  <si>
    <t>You are redirected to email application to complete sending.</t>
  </si>
  <si>
    <t>Click the Rows per page dropdown set to 10 by default to be adjusted to 20</t>
  </si>
  <si>
    <t>The table display is updated to display a row of 20</t>
  </si>
  <si>
    <t>Click the pagination (e.g., 1, 2, 3) to navigate to different pages</t>
  </si>
  <si>
    <t>Clicking the different page numbers displays the appropriate entries for each page.</t>
  </si>
  <si>
    <t>Create User valid Credential</t>
  </si>
  <si>
    <t xml:space="preserve"> From the Menu click on User</t>
  </si>
  <si>
    <t xml:space="preserve">Invite History </t>
  </si>
  <si>
    <t>A sub menu "roles, Department, user"  should be displayed.</t>
  </si>
  <si>
    <t>INVITE HISTORY</t>
  </si>
  <si>
    <t>Click on User sub -menu</t>
  </si>
  <si>
    <t>Display User page</t>
  </si>
  <si>
    <t xml:space="preserve">Navigate to the invite History on the dashboard </t>
  </si>
  <si>
    <t>Dash board display invite history with columns for Name,Type, Guest , Date sent , Action (send again)</t>
  </si>
  <si>
    <t>Display new user page</t>
  </si>
  <si>
    <t xml:space="preserve">Click on send again button </t>
  </si>
  <si>
    <t>Notification pops up that 'invite sent scucessfully'</t>
  </si>
  <si>
    <t>Enter FirstName</t>
  </si>
  <si>
    <t xml:space="preserve">Display First Name </t>
  </si>
  <si>
    <t>USER</t>
  </si>
  <si>
    <t>Enter Last Name</t>
  </si>
  <si>
    <t xml:space="preserve">Display Last Name </t>
  </si>
  <si>
    <t>Enter Email address</t>
  </si>
  <si>
    <t xml:space="preserve">Display Email address </t>
  </si>
  <si>
    <t>Enter Phone number</t>
  </si>
  <si>
    <t xml:space="preserve">Display Phone number </t>
  </si>
  <si>
    <t xml:space="preserve">WELCOME MESSAGE	</t>
  </si>
  <si>
    <t>Welcome Message</t>
  </si>
  <si>
    <t>Click and select role</t>
  </si>
  <si>
    <t>Display role</t>
  </si>
  <si>
    <t>Click and select Department</t>
  </si>
  <si>
    <t>Display Department</t>
  </si>
  <si>
    <t>Verify the presence of the logo and welcome message on the dashboard</t>
  </si>
  <si>
    <t>The logo is displayed prominently at the top of the dahsboard and welcome message should read "Welcome Get to know more about 1Gov Application."</t>
  </si>
  <si>
    <t>Select Grade Level</t>
  </si>
  <si>
    <t>Click on the Start Tutorial link</t>
  </si>
  <si>
    <t>Display list of grade levels</t>
  </si>
  <si>
    <t xml:space="preserve">you are directed to the Igov support portal </t>
  </si>
  <si>
    <t>Select Line Manager</t>
  </si>
  <si>
    <t>Click on Close on the welcome screen</t>
  </si>
  <si>
    <t>Display list of users</t>
  </si>
  <si>
    <t>The welcome screen disappears</t>
  </si>
  <si>
    <t>Upload Image</t>
  </si>
  <si>
    <t xml:space="preserve">Display image file in png, jpeg, </t>
  </si>
  <si>
    <t>Enter staff ID</t>
  </si>
  <si>
    <t>Display staff ID</t>
  </si>
  <si>
    <t>Enter Job Title</t>
  </si>
  <si>
    <t>Display Job title</t>
  </si>
  <si>
    <t>Enter Regions</t>
  </si>
  <si>
    <t>Display Region</t>
  </si>
  <si>
    <t>Display a successful message, " successfully Created.'</t>
  </si>
  <si>
    <t xml:space="preserve">Create User invalid Credential </t>
  </si>
  <si>
    <t xml:space="preserve">should not accept invalid First Name </t>
  </si>
  <si>
    <t xml:space="preserve">should not accept invalid larst Name </t>
  </si>
  <si>
    <t xml:space="preserve">should not accept invalid email address </t>
  </si>
  <si>
    <t>Redirect user to Email field to enter valid email</t>
  </si>
  <si>
    <t xml:space="preserve">should not accept invalid phone number </t>
  </si>
  <si>
    <t>Redirect user to Phone field to enter valid email</t>
  </si>
  <si>
    <t>Enable Approval Inventory</t>
  </si>
  <si>
    <t>Should enable user approving Inventory</t>
  </si>
  <si>
    <t>Not implemented</t>
  </si>
  <si>
    <t>Display an error message, "Staff ID has been entered already.'</t>
  </si>
  <si>
    <t>Displayed an error message, 'Email "olusoji.ajamobe@cicod.com" has already been taken.
Staff ID "0078" has already been taken.'</t>
  </si>
  <si>
    <t>Create User invalid Credential ( leaving compulsory fields empty)</t>
  </si>
  <si>
    <t>Empty FirstName field(compulsory)</t>
  </si>
  <si>
    <t>Display validation message, "Please fill out this fields."</t>
  </si>
  <si>
    <t>Empty Last Name (compulsory)</t>
  </si>
  <si>
    <t>Empty Email address (compulsory)</t>
  </si>
  <si>
    <t>Empty Phone number</t>
  </si>
  <si>
    <t>Click and select role (Optional)</t>
  </si>
  <si>
    <t>N/A</t>
  </si>
  <si>
    <t>Click and select Department (Optional)</t>
  </si>
  <si>
    <t>Upload Image (Optional)</t>
  </si>
  <si>
    <t>Enter staff ID (Optional)</t>
  </si>
  <si>
    <t>Enter Job Title (Optional)</t>
  </si>
  <si>
    <t>Enter Regions (Optional)</t>
  </si>
  <si>
    <t>Enable Approval Inventory (Optional)</t>
  </si>
  <si>
    <t xml:space="preserve">Click on Create button </t>
  </si>
  <si>
    <t>View User</t>
  </si>
  <si>
    <t>A sub menu "Name, Email Department, user"  should be displayed.</t>
  </si>
  <si>
    <t>Click on More button from a user Item</t>
  </si>
  <si>
    <t>Display a dropdown with options as view, suspend, update, make as resource</t>
  </si>
  <si>
    <t>Display user view page</t>
  </si>
  <si>
    <t>Edit User</t>
  </si>
  <si>
    <t>Display user edit page</t>
  </si>
  <si>
    <t>Edit Entry fields</t>
  </si>
  <si>
    <t>Fields should be edited successfully</t>
  </si>
  <si>
    <t>Suspend User</t>
  </si>
  <si>
    <t>Display a popup alert message with "suspend a user". Status should display Suspended</t>
  </si>
  <si>
    <t>Unsuspend User</t>
  </si>
  <si>
    <t>Display a dropdown with options as view, Unsuspend, update, make as resource</t>
  </si>
  <si>
    <t>Click on UnSuspend button</t>
  </si>
  <si>
    <t>Display Status as Active</t>
  </si>
  <si>
    <t>Make A Resource</t>
  </si>
  <si>
    <t>Click on Make as resource button</t>
  </si>
  <si>
    <t>Display resource page</t>
  </si>
  <si>
    <t>Enter Resource Information and Click on Send</t>
  </si>
  <si>
    <t>Display a success message</t>
  </si>
  <si>
    <t>Verify Schedule Resource page</t>
  </si>
  <si>
    <t>All Resouce information entered should be displayed. i.e</t>
  </si>
  <si>
    <t>Search Users</t>
  </si>
  <si>
    <t>Search by User name</t>
  </si>
  <si>
    <t>Filter User by name</t>
  </si>
  <si>
    <t>Create Department</t>
  </si>
  <si>
    <t>Click on Department sub -menu</t>
  </si>
  <si>
    <t>Display Deparment page</t>
  </si>
  <si>
    <t>Display Create Department page</t>
  </si>
  <si>
    <t>Enter name</t>
  </si>
  <si>
    <t xml:space="preserve">Name should be accepted </t>
  </si>
  <si>
    <t xml:space="preserve">Description should be accepted </t>
  </si>
  <si>
    <t>Display a successful message</t>
  </si>
  <si>
    <t>Edit Department</t>
  </si>
  <si>
    <t>Click on More button from a department Item</t>
  </si>
  <si>
    <t xml:space="preserve">Display a dropdown with options as suspend, update, </t>
  </si>
  <si>
    <t>Suspend Department</t>
  </si>
  <si>
    <t>Display a popup alert message with "suspend a department". Status should display Suspended</t>
  </si>
  <si>
    <t>Unsuspend Department</t>
  </si>
  <si>
    <t>Display Department  page</t>
  </si>
  <si>
    <t xml:space="preserve">Display a dropdown with options as view, Unsuspend, update, </t>
  </si>
  <si>
    <t>Search Department</t>
  </si>
  <si>
    <t>Display Department page</t>
  </si>
  <si>
    <t>Search by Deaprtment  name</t>
  </si>
  <si>
    <t>Filter Department by name</t>
  </si>
  <si>
    <t>Create Role</t>
  </si>
  <si>
    <t>Click on Roles sub -menu</t>
  </si>
  <si>
    <t>Display Role page</t>
  </si>
  <si>
    <t>Display Role create page</t>
  </si>
  <si>
    <t>Enter role name</t>
  </si>
  <si>
    <t>Accepts fields entered successfully</t>
  </si>
  <si>
    <t>Enter role description</t>
  </si>
  <si>
    <t>Roles descriptions should be entered successfully</t>
  </si>
  <si>
    <t>Click on give role access</t>
  </si>
  <si>
    <t>The user should be directed to the reviewing role page</t>
  </si>
  <si>
    <t>Tick on the check box to give role access to view modules</t>
  </si>
  <si>
    <t>User should be able to check the boxes to give viewing right to the role selected</t>
  </si>
  <si>
    <t>Click on give access to queue</t>
  </si>
  <si>
    <t>The user is directed to assign queue to roles page</t>
  </si>
  <si>
    <t>Give role rights</t>
  </si>
  <si>
    <t>The user should be able to give rights to the role</t>
  </si>
  <si>
    <t>Click on done button</t>
  </si>
  <si>
    <t>A successful alert message "Role Successfully Created." should be displayed</t>
  </si>
  <si>
    <t>Edit Role</t>
  </si>
  <si>
    <t>From the Menu click on User</t>
  </si>
  <si>
    <t>Click on action button</t>
  </si>
  <si>
    <t>Display a drop down with information as Update form, Suspend Form</t>
  </si>
  <si>
    <t>Click on update role button</t>
  </si>
  <si>
    <t>Displays update role page</t>
  </si>
  <si>
    <t>Clear and update role name filed</t>
  </si>
  <si>
    <t>Clear and update role description filed</t>
  </si>
  <si>
    <t xml:space="preserve">Suspend role </t>
  </si>
  <si>
    <t>A sub menu "roles, Department, user" should be displayed.</t>
  </si>
  <si>
    <t>Click on role sub -menu</t>
  </si>
  <si>
    <t>Display role page</t>
  </si>
  <si>
    <t>Click on More button from a role Item</t>
  </si>
  <si>
    <t>Display a popup alert message with "suspend a role". Status should display Suspended</t>
  </si>
  <si>
    <t>Unsuspend role</t>
  </si>
  <si>
    <t>Display a dropdown with options as view, Unsuspend, update,</t>
  </si>
  <si>
    <t xml:space="preserve">Search Roles </t>
  </si>
  <si>
    <t>Search by role name</t>
  </si>
  <si>
    <t>Filter role by name</t>
  </si>
  <si>
    <t>Create Form Module</t>
  </si>
  <si>
    <t>Open an existing Ticket that belongs to the selected Queue</t>
  </si>
  <si>
    <t>Ticket Details load correctly</t>
  </si>
  <si>
    <t xml:space="preserve">Ticket Details </t>
  </si>
  <si>
    <t>Click Act Now drops down add comment etc</t>
  </si>
  <si>
    <t>Sub Module Act Now</t>
  </si>
  <si>
    <t>Add Quick comment 0/1000</t>
  </si>
  <si>
    <t xml:space="preserve">Comment </t>
  </si>
  <si>
    <t xml:space="preserve">Comment and save confirmation </t>
  </si>
  <si>
    <t>Append Signature</t>
  </si>
  <si>
    <t xml:space="preserve">An E-Signature section displays sign and save </t>
  </si>
  <si>
    <t>E-Signature just displays Loading page and fails to save</t>
  </si>
  <si>
    <r>
      <rPr>
        <rFont val="Cambria"/>
        <b val="0"/>
        <color theme="1"/>
        <sz val="11.0"/>
      </rPr>
      <t>Assign to Rsource</t>
    </r>
    <r>
      <rPr>
        <rFont val="Cambria"/>
        <b/>
        <color theme="1"/>
        <sz val="11.0"/>
      </rPr>
      <t xml:space="preserve"> </t>
    </r>
  </si>
  <si>
    <t>Should display availble Resources Name Resource Type phone and region</t>
  </si>
  <si>
    <t xml:space="preserve">No availble Resources </t>
  </si>
  <si>
    <t>Assign to User</t>
  </si>
  <si>
    <t xml:space="preserve">Search for user or Assign to self </t>
  </si>
  <si>
    <r>
      <rPr>
        <rFont val="Calibri"/>
        <color theme="1"/>
        <sz val="11.0"/>
      </rPr>
      <t xml:space="preserve">Field where search for user to assign is located 
should fit to screen not having the user scroll all the way down </t>
    </r>
    <r>
      <rPr>
        <rFont val="Calibri"/>
        <b/>
        <color theme="1"/>
        <sz val="11.0"/>
      </rPr>
      <t>UI update</t>
    </r>
  </si>
  <si>
    <t>Request Assets</t>
  </si>
  <si>
    <t>User Department should allow user Rquest asset 
Success message comes up</t>
  </si>
  <si>
    <t xml:space="preserve">Update status </t>
  </si>
  <si>
    <t>Valid status should drop down menu</t>
  </si>
  <si>
    <t>Update Ticket</t>
  </si>
  <si>
    <t xml:space="preserve">should display Queue and Queue Type </t>
  </si>
  <si>
    <t>Upload Document</t>
  </si>
  <si>
    <t>Document name should not allow special character just a valid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</si>
</sst>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4">
    <font>
      <sz val="11.0"/>
      <color theme="1"/>
      <name val="Calibri"/>
      <scheme val="minor"/>
    </font>
    <font>
      <sz val="11.0"/>
      <color theme="1"/>
      <name val="Cambria"/>
    </font>
    <font>
      <b/>
      <sz val="13.0"/>
      <color theme="1"/>
      <name val="Cambria"/>
    </font>
    <font>
      <b/>
      <sz val="11.0"/>
      <color theme="1"/>
      <name val="Cambria"/>
    </font>
    <font>
      <sz val="11.0"/>
      <color theme="1"/>
      <name val="Calibri"/>
    </font>
    <font>
      <b/>
      <u/>
      <sz val="16.0"/>
      <color theme="1"/>
      <name val="Cambria"/>
    </font>
    <font>
      <b/>
      <i/>
      <sz val="11.0"/>
      <color theme="1"/>
      <name val="Cambria"/>
    </font>
    <font>
      <b/>
      <sz val="16.0"/>
      <color theme="1"/>
      <name val="Cambria"/>
    </font>
    <font>
      <u/>
      <sz val="11.0"/>
      <color theme="1"/>
      <name val="Cambria"/>
    </font>
    <font>
      <sz val="12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b/>
      <u/>
      <sz val="13.0"/>
      <color theme="1"/>
      <name val="Cambria"/>
    </font>
    <font/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b/>
      <sz val="12.0"/>
      <color theme="1"/>
      <name val="Cambria"/>
    </font>
    <font>
      <b/>
      <sz val="12.0"/>
      <color theme="0"/>
      <name val="Cambria"/>
    </font>
    <font>
      <sz val="11.0"/>
      <color rgb="FFFF0000"/>
      <name val="Cambria"/>
    </font>
    <font>
      <u/>
      <sz val="11.0"/>
      <color theme="1"/>
      <name val="Cambria"/>
    </font>
    <font>
      <i/>
      <sz val="11.0"/>
      <color theme="1"/>
      <name val="Cambria"/>
    </font>
    <font>
      <b/>
      <u/>
      <sz val="11.0"/>
      <color theme="1"/>
      <name val="Cambria"/>
    </font>
    <font>
      <b/>
      <sz val="11.0"/>
      <color rgb="FFFFFFFF"/>
      <name val="Cambria"/>
    </font>
    <font>
      <i/>
      <sz val="11.0"/>
      <color rgb="FF000000"/>
      <name val="Cambria"/>
    </font>
    <font>
      <sz val="11.0"/>
      <color theme="0"/>
      <name val="Calibri"/>
    </font>
    <font>
      <sz val="12.0"/>
      <color theme="0"/>
      <name val="Cambria"/>
    </font>
    <font>
      <i/>
      <sz val="11.0"/>
      <color theme="1"/>
      <name val="Calibri"/>
    </font>
    <font>
      <i/>
      <sz val="11.0"/>
      <color rgb="FFFF0000"/>
      <name val="Cambria"/>
    </font>
    <font>
      <b/>
      <u/>
      <sz val="16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u/>
      <sz val="11.0"/>
      <color theme="1"/>
      <name val="Cambria"/>
    </font>
    <font>
      <b/>
      <u/>
      <sz val="11.0"/>
      <color theme="1"/>
      <name val="Cambria"/>
    </font>
    <font>
      <b/>
      <sz val="12.0"/>
      <color rgb="FFFFFFFF"/>
      <name val="Cambria"/>
    </font>
    <font>
      <b/>
      <u/>
      <sz val="11.0"/>
      <color theme="1"/>
      <name val="Cambria"/>
    </font>
    <font>
      <b/>
      <sz val="11.0"/>
      <color theme="1"/>
      <name val="Calibri"/>
    </font>
    <font>
      <i/>
      <color theme="1"/>
      <name val="Cambria"/>
    </font>
    <font>
      <b/>
      <u/>
      <sz val="11.0"/>
      <color theme="1"/>
      <name val="Cambria"/>
    </font>
    <font>
      <i/>
      <sz val="9.0"/>
      <color theme="1"/>
      <name val="Cambria"/>
    </font>
    <font>
      <i/>
      <sz val="11.0"/>
      <color theme="1"/>
      <name val="Arial"/>
    </font>
    <font>
      <b/>
      <i/>
      <color theme="1"/>
      <name val="Cambria"/>
    </font>
    <font>
      <sz val="11.0"/>
      <color theme="1"/>
      <name val="Arial"/>
    </font>
    <font>
      <i/>
      <u/>
      <sz val="11.0"/>
      <color theme="1"/>
      <name val="Cambria"/>
    </font>
    <font>
      <b/>
      <u/>
      <sz val="11.0"/>
      <color theme="1"/>
      <name val="Cambria"/>
    </font>
    <font>
      <b/>
      <sz val="11.0"/>
      <color rgb="FFFF0000"/>
      <name val="Cambria"/>
    </font>
    <font>
      <b/>
      <u/>
      <sz val="11.0"/>
      <color theme="1"/>
      <name val="Cambria"/>
    </font>
    <font>
      <b/>
      <i/>
      <sz val="11.0"/>
      <color theme="1"/>
      <name val="Calibri"/>
    </font>
    <font>
      <b/>
      <u/>
      <sz val="11.0"/>
      <color theme="1"/>
      <name val="Cambria"/>
    </font>
    <font>
      <sz val="11.0"/>
      <color rgb="FFFF0000"/>
      <name val="Calibri"/>
    </font>
    <font>
      <b/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17365D"/>
        <bgColor rgb="FF17365D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78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/>
    </border>
    <border>
      <left/>
      <right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48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0" fillId="0" fontId="4" numFmtId="0" xfId="0" applyFont="1"/>
    <xf borderId="0" fillId="0" fontId="1" numFmtId="0" xfId="0" applyFont="1"/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left" shrinkToFit="0" wrapText="1"/>
    </xf>
    <xf borderId="0" fillId="0" fontId="1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0" fillId="0" fontId="1" numFmtId="0" xfId="0" applyAlignment="1" applyFont="1">
      <alignment horizontal="center"/>
    </xf>
    <xf borderId="3" fillId="0" fontId="1" numFmtId="0" xfId="0" applyAlignment="1" applyBorder="1" applyFont="1">
      <alignment horizontal="left" vertical="center"/>
    </xf>
    <xf borderId="0" fillId="0" fontId="9" numFmtId="0" xfId="0" applyAlignment="1" applyFont="1">
      <alignment vertical="center"/>
    </xf>
    <xf borderId="3" fillId="0" fontId="10" numFmtId="0" xfId="0" applyAlignment="1" applyBorder="1" applyFont="1">
      <alignment vertic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6" fillId="0" fontId="1" numFmtId="0" xfId="0" applyAlignment="1" applyBorder="1" applyFont="1">
      <alignment horizontal="center"/>
    </xf>
    <xf borderId="5" fillId="0" fontId="12" numFmtId="0" xfId="0" applyAlignment="1" applyBorder="1" applyFont="1">
      <alignment vertical="center"/>
    </xf>
    <xf borderId="6" fillId="0" fontId="3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1" xfId="0" applyAlignment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14" numFmtId="0" xfId="0" applyBorder="1" applyFont="1"/>
    <xf borderId="4" fillId="0" fontId="14" numFmtId="0" xfId="0" applyBorder="1" applyFont="1"/>
    <xf borderId="7" fillId="0" fontId="14" numFmtId="0" xfId="0" applyBorder="1" applyFont="1"/>
    <xf borderId="8" fillId="0" fontId="14" numFmtId="0" xfId="0" applyBorder="1" applyFont="1"/>
    <xf borderId="9" fillId="0" fontId="14" numFmtId="0" xfId="0" applyBorder="1" applyFont="1"/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left" vertical="center"/>
    </xf>
    <xf borderId="11" fillId="0" fontId="15" numFmtId="0" xfId="0" applyAlignment="1" applyBorder="1" applyFont="1">
      <alignment vertic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horizontal="left" vertical="center"/>
    </xf>
    <xf borderId="14" fillId="0" fontId="16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/>
    </xf>
    <xf borderId="13" fillId="0" fontId="17" numFmtId="0" xfId="0" applyAlignment="1" applyBorder="1" applyFont="1">
      <alignment vertical="center"/>
    </xf>
    <xf borderId="14" fillId="0" fontId="18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shrinkToFit="0" wrapText="1"/>
    </xf>
    <xf borderId="7" fillId="0" fontId="19" numFmtId="0" xfId="0" applyAlignment="1" applyBorder="1" applyFont="1">
      <alignment vertical="center"/>
    </xf>
    <xf borderId="8" fillId="0" fontId="3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center" vertical="center"/>
    </xf>
    <xf borderId="0" fillId="0" fontId="20" numFmtId="0" xfId="0" applyAlignment="1" applyFont="1">
      <alignment horizontal="center"/>
    </xf>
    <xf borderId="16" fillId="3" fontId="2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14" fillId="3" fontId="21" numFmtId="0" xfId="0" applyAlignment="1" applyBorder="1" applyFill="1" applyFont="1">
      <alignment horizontal="center" shrinkToFit="0" vertical="center" wrapText="1"/>
    </xf>
    <xf borderId="14" fillId="3" fontId="21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left" vertical="center"/>
    </xf>
    <xf borderId="17" fillId="4" fontId="3" numFmtId="0" xfId="0" applyAlignment="1" applyBorder="1" applyFill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8" fillId="0" fontId="3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center" shrinkToFit="0" vertical="center" wrapText="1"/>
    </xf>
    <xf borderId="15" fillId="0" fontId="3" numFmtId="1" xfId="0" applyAlignment="1" applyBorder="1" applyFont="1" applyNumberFormat="1">
      <alignment horizontal="center" vertical="center"/>
    </xf>
    <xf borderId="12" fillId="0" fontId="22" numFmtId="0" xfId="0" applyBorder="1" applyFont="1"/>
    <xf borderId="19" fillId="0" fontId="14" numFmtId="0" xfId="0" applyBorder="1" applyFont="1"/>
    <xf borderId="20" fillId="0" fontId="23" numFmtId="0" xfId="0" applyAlignment="1" applyBorder="1" applyFont="1">
      <alignment vertical="center"/>
    </xf>
    <xf borderId="13" fillId="0" fontId="24" numFmtId="0" xfId="0" applyAlignment="1" applyBorder="1" applyFont="1">
      <alignment shrinkToFit="0" vertical="center" wrapText="1"/>
    </xf>
    <xf borderId="14" fillId="0" fontId="24" numFmtId="0" xfId="0" applyAlignment="1" applyBorder="1" applyFont="1">
      <alignment horizontal="left" shrinkToFit="0" vertical="center" wrapText="1"/>
    </xf>
    <xf borderId="18" fillId="0" fontId="1" numFmtId="0" xfId="0" applyAlignment="1" applyBorder="1" applyFont="1">
      <alignment horizontal="left" vertical="center"/>
    </xf>
    <xf borderId="0" fillId="0" fontId="25" numFmtId="0" xfId="0" applyAlignment="1" applyFont="1">
      <alignment vertical="center"/>
    </xf>
    <xf borderId="14" fillId="0" fontId="1" numFmtId="0" xfId="0" applyAlignment="1" applyBorder="1" applyFont="1">
      <alignment horizontal="center" shrinkToFit="0" vertical="center" wrapText="1"/>
    </xf>
    <xf borderId="21" fillId="0" fontId="3" numFmtId="1" xfId="0" applyAlignment="1" applyBorder="1" applyFont="1" applyNumberFormat="1">
      <alignment horizontal="center" vertical="center"/>
    </xf>
    <xf borderId="22" fillId="5" fontId="26" numFmtId="0" xfId="0" applyAlignment="1" applyBorder="1" applyFill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wrapText="1"/>
    </xf>
    <xf borderId="23" fillId="5" fontId="26" numFmtId="0" xfId="0" applyAlignment="1" applyBorder="1" applyFill="1" applyFont="1">
      <alignment horizontal="center" shrinkToFit="0" vertical="center" wrapText="1"/>
    </xf>
    <xf borderId="14" fillId="0" fontId="24" numFmtId="0" xfId="0" applyAlignment="1" applyBorder="1" applyFont="1">
      <alignment shrinkToFit="0" vertical="center" wrapText="1"/>
    </xf>
    <xf borderId="24" fillId="5" fontId="26" numFmtId="0" xfId="0" applyAlignment="1" applyBorder="1" applyFill="1" applyFont="1">
      <alignment horizontal="center" shrinkToFit="0" vertical="center" wrapText="1"/>
    </xf>
    <xf borderId="25" fillId="5" fontId="26" numFmtId="0" xfId="0" applyAlignment="1" applyBorder="1" applyFill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29" fillId="0" fontId="24" numFmtId="0" xfId="0" applyAlignment="1" applyBorder="1" applyFont="1">
      <alignment shrinkToFit="0" vertical="center" wrapText="1"/>
    </xf>
    <xf borderId="30" fillId="0" fontId="24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shrinkToFit="0" wrapText="1"/>
    </xf>
    <xf borderId="22" fillId="0" fontId="1" numFmtId="3" xfId="0" applyAlignment="1" applyBorder="1" applyFont="1" applyNumberForma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22" fillId="0" fontId="1" numFmtId="2" xfId="0" applyAlignment="1" applyBorder="1" applyFont="1" applyNumberFormat="1">
      <alignment horizontal="right" shrinkToFit="0" vertical="center" wrapText="1"/>
    </xf>
    <xf borderId="32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20" fillId="0" fontId="3" numFmtId="0" xfId="0" applyAlignment="1" applyBorder="1" applyFont="1">
      <alignment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wrapText="1"/>
    </xf>
    <xf borderId="18" fillId="0" fontId="3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wrapText="1"/>
    </xf>
    <xf borderId="26" fillId="0" fontId="14" numFmtId="0" xfId="0" applyBorder="1" applyFont="1"/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33" fillId="0" fontId="1" numFmtId="0" xfId="0" applyBorder="1" applyFont="1"/>
    <xf borderId="0" fillId="0" fontId="22" numFmtId="0" xfId="0" applyFont="1"/>
    <xf borderId="34" fillId="6" fontId="3" numFmtId="0" xfId="0" applyAlignment="1" applyBorder="1" applyFill="1" applyFont="1">
      <alignment horizontal="center" vertical="center"/>
    </xf>
    <xf borderId="10" fillId="0" fontId="3" numFmtId="0" xfId="0" applyAlignment="1" applyBorder="1" applyFont="1">
      <alignment shrinkToFit="0" wrapText="1"/>
    </xf>
    <xf borderId="11" fillId="0" fontId="1" numFmtId="0" xfId="0" applyAlignment="1" applyBorder="1" applyFont="1">
      <alignment horizontal="left" shrinkToFit="0" wrapText="1"/>
    </xf>
    <xf borderId="12" fillId="0" fontId="1" numFmtId="0" xfId="0" applyAlignment="1" applyBorder="1" applyFont="1">
      <alignment horizontal="center" shrinkToFit="0" wrapText="1"/>
    </xf>
    <xf borderId="35" fillId="6" fontId="3" numFmtId="0" xfId="0" applyAlignment="1" applyBorder="1" applyFill="1" applyFont="1">
      <alignment horizontal="center" vertical="center"/>
    </xf>
    <xf borderId="13" fillId="0" fontId="24" numFmtId="0" xfId="0" applyAlignment="1" applyBorder="1" applyFont="1">
      <alignment shrinkToFit="0" wrapText="1"/>
    </xf>
    <xf borderId="14" fillId="0" fontId="1" numFmtId="0" xfId="0" applyAlignment="1" applyBorder="1" applyFont="1">
      <alignment horizontal="left" shrinkToFit="0" wrapText="1"/>
    </xf>
    <xf borderId="13" fillId="0" fontId="24" numFmtId="0" xfId="0" applyBorder="1" applyFont="1"/>
    <xf borderId="14" fillId="0" fontId="24" numFmtId="0" xfId="0" applyAlignment="1" applyBorder="1" applyFont="1">
      <alignment shrinkToFit="0" wrapText="1"/>
    </xf>
    <xf borderId="20" fillId="0" fontId="3" numFmtId="0" xfId="0" applyAlignment="1" applyBorder="1" applyFont="1">
      <alignment shrinkToFit="0" wrapText="1"/>
    </xf>
    <xf borderId="18" fillId="0" fontId="1" numFmtId="0" xfId="0" applyAlignment="1" applyBorder="1" applyFont="1">
      <alignment horizontal="left" shrinkToFit="0" wrapText="1"/>
    </xf>
    <xf borderId="6" fillId="0" fontId="14" numFmtId="0" xfId="0" applyBorder="1" applyFont="1"/>
    <xf borderId="0" fillId="0" fontId="6" numFmtId="0" xfId="0" applyAlignment="1" applyFont="1">
      <alignment shrinkToFit="0" wrapText="1"/>
    </xf>
    <xf borderId="0" fillId="0" fontId="1" numFmtId="0" xfId="0" applyAlignment="1" applyFont="1">
      <alignment horizontal="left"/>
    </xf>
    <xf borderId="36" fillId="0" fontId="1" numFmtId="0" xfId="0" applyAlignment="1" applyBorder="1" applyFont="1">
      <alignment horizontal="left" shrinkToFit="0" wrapText="1"/>
    </xf>
    <xf borderId="14" fillId="0" fontId="24" numFmtId="0" xfId="0" applyAlignment="1" applyBorder="1" applyFont="1">
      <alignment horizontal="left"/>
    </xf>
    <xf borderId="37" fillId="0" fontId="1" numFmtId="0" xfId="0" applyAlignment="1" applyBorder="1" applyFont="1">
      <alignment horizontal="center" shrinkToFit="0" wrapText="1"/>
    </xf>
    <xf borderId="1" fillId="7" fontId="3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shrinkToFit="0" wrapText="1"/>
    </xf>
    <xf borderId="3" fillId="0" fontId="1" numFmtId="0" xfId="0" applyAlignment="1" applyBorder="1" applyFont="1">
      <alignment horizontal="left" shrinkToFit="0" wrapText="1"/>
    </xf>
    <xf borderId="38" fillId="0" fontId="3" numFmtId="0" xfId="0" applyAlignment="1" applyBorder="1" applyFont="1">
      <alignment horizontal="center" shrinkToFit="0" vertical="center" wrapText="1"/>
    </xf>
    <xf borderId="39" fillId="0" fontId="24" numFmtId="0" xfId="0" applyAlignment="1" applyBorder="1" applyFont="1">
      <alignment horizontal="left"/>
    </xf>
    <xf borderId="40" fillId="0" fontId="24" numFmtId="0" xfId="0" applyAlignment="1" applyBorder="1" applyFont="1">
      <alignment horizontal="left"/>
    </xf>
    <xf borderId="14" fillId="0" fontId="3" numFmtId="0" xfId="0" applyAlignment="1" applyBorder="1" applyFont="1">
      <alignment horizontal="center" shrinkToFit="0" vertical="center" wrapText="1"/>
    </xf>
    <xf borderId="37" fillId="0" fontId="24" numFmtId="0" xfId="0" applyAlignment="1" applyBorder="1" applyFont="1">
      <alignment horizontal="left"/>
    </xf>
    <xf borderId="41" fillId="2" fontId="27" numFmtId="0" xfId="0" applyAlignment="1" applyBorder="1" applyFill="1" applyFont="1">
      <alignment horizontal="left"/>
    </xf>
    <xf borderId="42" fillId="0" fontId="1" numFmtId="0" xfId="0" applyAlignment="1" applyBorder="1" applyFont="1">
      <alignment horizontal="left" shrinkToFit="0" wrapText="1"/>
    </xf>
    <xf borderId="43" fillId="0" fontId="24" numFmtId="0" xfId="0" applyAlignment="1" applyBorder="1" applyFont="1">
      <alignment horizontal="left"/>
    </xf>
    <xf borderId="11" fillId="0" fontId="1" numFmtId="0" xfId="0" applyBorder="1" applyFont="1"/>
    <xf borderId="14" fillId="0" fontId="1" numFmtId="0" xfId="0" applyAlignment="1" applyBorder="1" applyFont="1">
      <alignment vertical="center"/>
    </xf>
    <xf borderId="14" fillId="0" fontId="1" numFmtId="0" xfId="0" applyBorder="1" applyFont="1"/>
    <xf borderId="6" fillId="0" fontId="3" numFmtId="1" xfId="0" applyAlignment="1" applyBorder="1" applyFont="1" applyNumberFormat="1">
      <alignment horizontal="center" vertical="center"/>
    </xf>
    <xf borderId="18" fillId="0" fontId="1" numFmtId="0" xfId="0" applyBorder="1" applyFont="1"/>
    <xf borderId="9" fillId="0" fontId="3" numFmtId="1" xfId="0" applyAlignment="1" applyBorder="1" applyFont="1" applyNumberFormat="1">
      <alignment horizontal="center" vertical="center"/>
    </xf>
    <xf borderId="44" fillId="3" fontId="21" numFmtId="0" xfId="0" applyAlignment="1" applyBorder="1" applyFill="1" applyFont="1">
      <alignment horizontal="center" shrinkToFit="0" vertical="center" wrapText="1"/>
    </xf>
    <xf borderId="45" fillId="3" fontId="21" numFmtId="0" xfId="0" applyAlignment="1" applyBorder="1" applyFill="1" applyFont="1">
      <alignment horizontal="center" shrinkToFit="0" vertical="center" wrapText="1"/>
    </xf>
    <xf borderId="46" fillId="3" fontId="21" numFmtId="0" xfId="0" applyAlignment="1" applyBorder="1" applyFill="1" applyFont="1">
      <alignment horizontal="center" shrinkToFit="0" vertical="center" wrapText="1"/>
    </xf>
    <xf borderId="47" fillId="3" fontId="21" numFmtId="0" xfId="0" applyAlignment="1" applyBorder="1" applyFill="1" applyFont="1">
      <alignment horizontal="center" vertical="center"/>
    </xf>
    <xf borderId="48" fillId="0" fontId="3" numFmtId="0" xfId="0" applyAlignment="1" applyBorder="1" applyFont="1">
      <alignment vertical="center"/>
    </xf>
    <xf borderId="49" fillId="0" fontId="6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horizontal="left" shrinkToFit="0" vertical="center" wrapText="1"/>
    </xf>
    <xf borderId="30" fillId="0" fontId="3" numFmtId="0" xfId="0" applyAlignment="1" applyBorder="1" applyFont="1">
      <alignment horizontal="center" shrinkToFit="0" vertical="center" wrapText="1"/>
    </xf>
    <xf borderId="31" fillId="0" fontId="1" numFmtId="0" xfId="0" applyBorder="1" applyFont="1"/>
    <xf borderId="50" fillId="0" fontId="3" numFmtId="0" xfId="0" applyAlignment="1" applyBorder="1" applyFont="1">
      <alignment shrinkToFit="0" wrapText="1"/>
    </xf>
    <xf borderId="12" fillId="0" fontId="24" numFmtId="0" xfId="0" applyAlignment="1" applyBorder="1" applyFont="1">
      <alignment horizontal="left"/>
    </xf>
    <xf borderId="15" fillId="0" fontId="24" numFmtId="0" xfId="0" applyAlignment="1" applyBorder="1" applyFont="1">
      <alignment horizontal="left"/>
    </xf>
    <xf borderId="18" fillId="0" fontId="1" numFmtId="0" xfId="0" applyAlignment="1" applyBorder="1" applyFont="1">
      <alignment horizontal="center" shrinkToFit="0" vertical="center" wrapText="1"/>
    </xf>
    <xf borderId="11" fillId="0" fontId="24" numFmtId="0" xfId="0" applyAlignment="1" applyBorder="1" applyFont="1">
      <alignment horizontal="left"/>
    </xf>
    <xf borderId="51" fillId="6" fontId="3" numFmtId="0" xfId="0" applyAlignment="1" applyBorder="1" applyFill="1" applyFont="1">
      <alignment horizontal="center" vertical="center"/>
    </xf>
    <xf borderId="12" fillId="0" fontId="4" numFmtId="0" xfId="0" applyBorder="1" applyFont="1"/>
    <xf borderId="21" fillId="0" fontId="24" numFmtId="0" xfId="0" applyAlignment="1" applyBorder="1" applyFont="1">
      <alignment horizontal="left"/>
    </xf>
    <xf borderId="0" fillId="0" fontId="3" numFmtId="0" xfId="0" applyAlignment="1" applyFont="1">
      <alignment shrinkToFit="0" wrapText="1"/>
    </xf>
    <xf borderId="0" fillId="0" fontId="24" numFmtId="0" xfId="0" applyAlignment="1" applyFont="1">
      <alignment horizontal="left"/>
    </xf>
    <xf borderId="18" fillId="0" fontId="24" numFmtId="0" xfId="0" applyAlignment="1" applyBorder="1" applyFont="1">
      <alignment horizontal="left"/>
    </xf>
    <xf borderId="11" fillId="0" fontId="3" numFmtId="0" xfId="0" applyAlignment="1" applyBorder="1" applyFont="1">
      <alignment horizontal="center" shrinkToFit="0" vertical="center" wrapText="1"/>
    </xf>
    <xf borderId="0" fillId="0" fontId="28" numFmtId="0" xfId="0" applyFont="1"/>
    <xf borderId="0" fillId="0" fontId="21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/>
    </xf>
    <xf borderId="52" fillId="0" fontId="21" numFmtId="0" xfId="0" applyAlignment="1" applyBorder="1" applyFont="1">
      <alignment horizontal="center" shrinkToFit="0" vertical="center" wrapText="1"/>
    </xf>
    <xf borderId="53" fillId="0" fontId="21" numFmtId="0" xfId="0" applyAlignment="1" applyBorder="1" applyFont="1">
      <alignment horizontal="center" shrinkToFit="0" vertical="center" wrapText="1"/>
    </xf>
    <xf borderId="54" fillId="0" fontId="21" numFmtId="0" xfId="0" applyAlignment="1" applyBorder="1" applyFont="1">
      <alignment horizontal="center" vertical="center"/>
    </xf>
    <xf borderId="17" fillId="4" fontId="3" numFmtId="0" xfId="0" applyAlignment="1" applyBorder="1" applyFill="1" applyFont="1">
      <alignment horizontal="center" shrinkToFit="0" vertical="center" wrapText="1"/>
    </xf>
    <xf borderId="13" fillId="0" fontId="30" numFmtId="0" xfId="0" applyAlignment="1" applyBorder="1" applyFont="1">
      <alignment shrinkToFit="0" wrapText="1"/>
    </xf>
    <xf borderId="14" fillId="0" fontId="30" numFmtId="0" xfId="0" applyAlignment="1" applyBorder="1" applyFont="1">
      <alignment shrinkToFit="0" wrapText="1"/>
    </xf>
    <xf borderId="14" fillId="2" fontId="30" numFmtId="0" xfId="0" applyAlignment="1" applyBorder="1" applyFill="1" applyFont="1">
      <alignment shrinkToFit="0" wrapText="1"/>
    </xf>
    <xf borderId="11" fillId="0" fontId="3" numFmtId="0" xfId="0" applyAlignment="1" applyBorder="1" applyFont="1">
      <alignment shrinkToFit="0" wrapText="1"/>
    </xf>
    <xf borderId="17" fillId="6" fontId="3" numFmtId="0" xfId="0" applyAlignment="1" applyBorder="1" applyFill="1" applyFont="1">
      <alignment horizontal="center" shrinkToFit="0" vertical="center" wrapText="1"/>
    </xf>
    <xf borderId="14" fillId="2" fontId="24" numFmtId="0" xfId="0" applyAlignment="1" applyBorder="1" applyFill="1" applyFont="1">
      <alignment shrinkToFit="0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2" fillId="0" fontId="1" numFmtId="0" xfId="0" applyAlignment="1" applyBorder="1" applyFont="1">
      <alignment horizontal="left" shrinkToFit="0" wrapText="1"/>
    </xf>
    <xf borderId="54" fillId="0" fontId="24" numFmtId="0" xfId="0" applyAlignment="1" applyBorder="1" applyFont="1">
      <alignment horizontal="left" shrinkToFit="0" wrapText="1"/>
    </xf>
    <xf borderId="55" fillId="0" fontId="24" numFmtId="0" xfId="0" applyBorder="1" applyFont="1"/>
    <xf borderId="14" fillId="0" fontId="24" numFmtId="0" xfId="0" applyAlignment="1" applyBorder="1" applyFont="1">
      <alignment horizontal="left" shrinkToFit="0" wrapText="1"/>
    </xf>
    <xf borderId="20" fillId="0" fontId="3" numFmtId="0" xfId="0" applyBorder="1" applyFont="1"/>
    <xf borderId="8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0" fillId="0" fontId="1" numFmtId="0" xfId="0" applyAlignment="1" applyFont="1">
      <alignment horizontal="center" shrinkToFit="0" wrapText="1"/>
    </xf>
    <xf borderId="11" fillId="0" fontId="24" numFmtId="0" xfId="0" applyAlignment="1" applyBorder="1" applyFont="1">
      <alignment horizontal="left" shrinkToFit="0" wrapText="1"/>
    </xf>
    <xf borderId="11" fillId="0" fontId="24" numFmtId="0" xfId="0" applyAlignment="1" applyBorder="1" applyFont="1">
      <alignment horizontal="center" shrinkToFit="0" wrapText="1"/>
    </xf>
    <xf borderId="12" fillId="0" fontId="31" numFmtId="0" xfId="0" applyBorder="1" applyFont="1"/>
    <xf borderId="14" fillId="0" fontId="24" numFmtId="0" xfId="0" applyBorder="1" applyFont="1"/>
    <xf borderId="14" fillId="0" fontId="24" numFmtId="0" xfId="0" applyAlignment="1" applyBorder="1" applyFont="1">
      <alignment horizontal="center" shrinkToFit="0" wrapText="1"/>
    </xf>
    <xf borderId="15" fillId="0" fontId="31" numFmtId="0" xfId="0" applyBorder="1" applyFont="1"/>
    <xf borderId="31" fillId="0" fontId="31" numFmtId="0" xfId="0" applyBorder="1" applyFont="1"/>
    <xf borderId="29" fillId="0" fontId="24" numFmtId="0" xfId="0" applyAlignment="1" applyBorder="1" applyFont="1">
      <alignment shrinkToFit="0" wrapText="1"/>
    </xf>
    <xf borderId="30" fillId="0" fontId="24" numFmtId="0" xfId="0" applyBorder="1" applyFont="1"/>
    <xf borderId="29" fillId="0" fontId="24" numFmtId="0" xfId="0" applyBorder="1" applyFont="1"/>
    <xf borderId="20" fillId="0" fontId="24" numFmtId="0" xfId="0" applyAlignment="1" applyBorder="1" applyFont="1">
      <alignment shrinkToFit="0" wrapText="1"/>
    </xf>
    <xf borderId="18" fillId="0" fontId="24" numFmtId="0" xfId="0" applyAlignment="1" applyBorder="1" applyFont="1">
      <alignment horizontal="left" shrinkToFit="0" wrapText="1"/>
    </xf>
    <xf borderId="18" fillId="0" fontId="24" numFmtId="0" xfId="0" applyAlignment="1" applyBorder="1" applyFont="1">
      <alignment horizontal="center" shrinkToFit="0" wrapText="1"/>
    </xf>
    <xf borderId="21" fillId="0" fontId="31" numFmtId="0" xfId="0" applyBorder="1" applyFont="1"/>
    <xf borderId="0" fillId="0" fontId="24" numFmtId="0" xfId="0" applyAlignment="1" applyFont="1">
      <alignment shrinkToFit="0" wrapText="1"/>
    </xf>
    <xf borderId="0" fillId="0" fontId="24" numFmtId="0" xfId="0" applyAlignment="1" applyFont="1">
      <alignment horizontal="left" shrinkToFit="0" wrapText="1"/>
    </xf>
    <xf borderId="0" fillId="0" fontId="24" numFmtId="0" xfId="0" applyAlignment="1" applyFont="1">
      <alignment horizontal="center" shrinkToFit="0" wrapText="1"/>
    </xf>
    <xf borderId="0" fillId="0" fontId="31" numFmtId="0" xfId="0" applyFont="1"/>
    <xf borderId="0" fillId="0" fontId="4" numFmtId="0" xfId="0" applyAlignment="1" applyFont="1">
      <alignment vertical="bottom"/>
    </xf>
    <xf borderId="2" fillId="0" fontId="6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left" shrinkToFit="0" wrapText="1"/>
    </xf>
    <xf borderId="5" fillId="0" fontId="1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36" fillId="0" fontId="24" numFmtId="0" xfId="0" applyAlignment="1" applyBorder="1" applyFont="1">
      <alignment shrinkToFit="0" wrapText="1"/>
    </xf>
    <xf borderId="8" fillId="0" fontId="32" numFmtId="0" xfId="0" applyAlignment="1" applyBorder="1" applyFont="1">
      <alignment horizontal="center"/>
    </xf>
    <xf borderId="56" fillId="0" fontId="31" numFmtId="0" xfId="0" applyBorder="1" applyFont="1"/>
    <xf borderId="2" fillId="0" fontId="4" numFmtId="0" xfId="0" applyBorder="1" applyFont="1"/>
    <xf borderId="3" fillId="0" fontId="4" numFmtId="0" xfId="0" applyBorder="1" applyFont="1"/>
    <xf borderId="4" fillId="0" fontId="4" numFmtId="0" xfId="0" applyAlignment="1" applyBorder="1" applyFont="1">
      <alignment vertical="bottom"/>
    </xf>
    <xf borderId="5" fillId="0" fontId="1" numFmtId="0" xfId="0" applyBorder="1" applyFont="1"/>
    <xf borderId="0" fillId="0" fontId="33" numFmtId="0" xfId="0" applyFont="1"/>
    <xf borderId="6" fillId="0" fontId="1" numFmtId="0" xfId="0" applyAlignment="1" applyBorder="1" applyFont="1">
      <alignment horizontal="center" vertical="bottom"/>
    </xf>
    <xf borderId="18" fillId="0" fontId="24" numFmtId="0" xfId="0" applyAlignment="1" applyBorder="1" applyFont="1">
      <alignment shrinkToFit="0" wrapText="1"/>
    </xf>
    <xf borderId="5" fillId="0" fontId="4" numFmtId="0" xfId="0" applyBorder="1" applyFont="1"/>
    <xf borderId="0" fillId="0" fontId="34" numFmtId="0" xfId="0" applyAlignment="1" applyFont="1">
      <alignment shrinkToFit="0" wrapText="1"/>
    </xf>
    <xf borderId="52" fillId="0" fontId="24" numFmtId="0" xfId="0" applyAlignment="1" applyBorder="1" applyFont="1">
      <alignment shrinkToFit="0" wrapText="1"/>
    </xf>
    <xf borderId="6" fillId="0" fontId="4" numFmtId="0" xfId="0" applyAlignment="1" applyBorder="1" applyFont="1">
      <alignment vertical="bottom"/>
    </xf>
    <xf borderId="7" fillId="0" fontId="4" numFmtId="0" xfId="0" applyBorder="1" applyFont="1"/>
    <xf borderId="53" fillId="0" fontId="24" numFmtId="0" xfId="0" applyAlignment="1" applyBorder="1" applyFont="1">
      <alignment shrinkToFit="0" wrapText="1"/>
    </xf>
    <xf borderId="8" fillId="0" fontId="4" numFmtId="0" xfId="0" applyBorder="1" applyFont="1"/>
    <xf borderId="9" fillId="0" fontId="4" numFmtId="0" xfId="0" applyBorder="1" applyFont="1"/>
    <xf borderId="53" fillId="0" fontId="24" numFmtId="0" xfId="0" applyAlignment="1" applyBorder="1" applyFont="1">
      <alignment horizontal="center" shrinkToFit="0" wrapText="1"/>
    </xf>
    <xf borderId="6" fillId="0" fontId="3" numFmtId="0" xfId="0" applyAlignment="1" applyBorder="1" applyFont="1">
      <alignment horizontal="center" shrinkToFit="0" vertical="bottom" wrapText="1"/>
    </xf>
    <xf borderId="54" fillId="0" fontId="31" numFmtId="0" xfId="0" applyBorder="1" applyFont="1"/>
    <xf borderId="5" fillId="0" fontId="35" numFmtId="0" xfId="0" applyBorder="1" applyFont="1"/>
    <xf borderId="57" fillId="0" fontId="21" numFmtId="0" xfId="0" applyAlignment="1" applyBorder="1" applyFont="1">
      <alignment horizontal="center" shrinkToFit="0" vertical="center" wrapText="1"/>
    </xf>
    <xf borderId="58" fillId="0" fontId="21" numFmtId="0" xfId="0" applyAlignment="1" applyBorder="1" applyFont="1">
      <alignment horizontal="center" shrinkToFit="0" vertical="center" wrapText="1"/>
    </xf>
    <xf borderId="59" fillId="0" fontId="21" numFmtId="0" xfId="0" applyAlignment="1" applyBorder="1" applyFont="1">
      <alignment horizontal="center" vertical="center"/>
    </xf>
    <xf borderId="13" fillId="0" fontId="1" numFmtId="0" xfId="0" applyAlignment="1" applyBorder="1" applyFont="1">
      <alignment readingOrder="0" shrinkToFit="0" vertical="center" wrapText="1"/>
    </xf>
    <xf borderId="50" fillId="0" fontId="24" numFmtId="0" xfId="0" applyBorder="1" applyFont="1"/>
    <xf borderId="29" fillId="0" fontId="1" numFmtId="0" xfId="0" applyAlignment="1" applyBorder="1" applyFont="1">
      <alignment shrinkToFit="0" vertical="center" wrapText="1"/>
    </xf>
    <xf borderId="30" fillId="0" fontId="24" numFmtId="0" xfId="0" applyAlignment="1" applyBorder="1" applyFont="1">
      <alignment horizontal="left" shrinkToFit="0" vertical="center" wrapText="1"/>
    </xf>
    <xf borderId="11" fillId="0" fontId="24" numFmtId="0" xfId="0" applyBorder="1" applyFont="1"/>
    <xf borderId="0" fillId="0" fontId="3" numFmtId="0" xfId="0" applyFont="1"/>
    <xf borderId="12" fillId="0" fontId="24" numFmtId="0" xfId="0" applyBorder="1" applyFont="1"/>
    <xf borderId="15" fillId="0" fontId="24" numFmtId="0" xfId="0" applyBorder="1" applyFont="1"/>
    <xf borderId="6" fillId="0" fontId="3" numFmtId="0" xfId="0" applyAlignment="1" applyBorder="1" applyFont="1">
      <alignment horizontal="center"/>
    </xf>
    <xf borderId="18" fillId="0" fontId="24" numFmtId="0" xfId="0" applyBorder="1" applyFont="1"/>
    <xf borderId="21" fillId="0" fontId="24" numFmtId="0" xfId="0" applyBorder="1" applyFont="1"/>
    <xf borderId="0" fillId="0" fontId="24" numFmtId="0" xfId="0" applyFont="1"/>
    <xf borderId="0" fillId="0" fontId="36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7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horizontal="left" shrinkToFit="0" vertical="center" wrapText="1"/>
    </xf>
    <xf borderId="8" fillId="0" fontId="4" numFmtId="0" xfId="0" applyAlignment="1" applyBorder="1" applyFont="1">
      <alignment vertical="bottom"/>
    </xf>
    <xf borderId="1" fillId="2" fontId="22" numFmtId="0" xfId="0" applyBorder="1" applyFill="1" applyFont="1"/>
    <xf borderId="9" fillId="0" fontId="4" numFmtId="0" xfId="0" applyAlignment="1" applyBorder="1" applyFont="1">
      <alignment vertical="bottom"/>
    </xf>
    <xf borderId="16" fillId="3" fontId="37" numFmtId="0" xfId="0" applyAlignment="1" applyBorder="1" applyFill="1" applyFont="1">
      <alignment horizontal="center" shrinkToFit="0" wrapText="1"/>
    </xf>
    <xf borderId="14" fillId="3" fontId="37" numFmtId="0" xfId="0" applyAlignment="1" applyBorder="1" applyFill="1" applyFont="1">
      <alignment horizontal="center" shrinkToFit="0" wrapText="1"/>
    </xf>
    <xf borderId="14" fillId="3" fontId="37" numFmtId="0" xfId="0" applyAlignment="1" applyBorder="1" applyFill="1" applyFont="1">
      <alignment horizontal="center"/>
    </xf>
    <xf borderId="0" fillId="2" fontId="4" numFmtId="0" xfId="0" applyAlignment="1" applyFill="1" applyFont="1">
      <alignment vertical="bottom"/>
    </xf>
    <xf borderId="36" fillId="0" fontId="24" numFmtId="0" xfId="0" applyBorder="1" applyFont="1"/>
    <xf borderId="0" fillId="2" fontId="4" numFmtId="0" xfId="0" applyFill="1" applyFont="1"/>
    <xf borderId="60" fillId="0" fontId="24" numFmtId="0" xfId="0" applyBorder="1" applyFont="1"/>
    <xf borderId="0" fillId="0" fontId="38" numFmtId="0" xfId="0" applyAlignment="1" applyFont="1">
      <alignment horizontal="right" shrinkToFit="0" wrapText="1"/>
    </xf>
    <xf borderId="1" fillId="2" fontId="4" numFmtId="0" xfId="0" applyAlignment="1" applyBorder="1" applyFill="1" applyFont="1">
      <alignment vertical="bottom"/>
    </xf>
    <xf borderId="61" fillId="2" fontId="4" numFmtId="0" xfId="0" applyBorder="1" applyFill="1" applyFont="1"/>
    <xf borderId="62" fillId="0" fontId="24" numFmtId="0" xfId="0" applyBorder="1" applyFont="1"/>
    <xf borderId="61" fillId="2" fontId="4" numFmtId="0" xfId="0" applyBorder="1" applyFill="1" applyFont="1"/>
    <xf borderId="61" fillId="2" fontId="4" numFmtId="0" xfId="0" applyAlignment="1" applyBorder="1" applyFill="1" applyFont="1">
      <alignment vertical="bottom"/>
    </xf>
    <xf borderId="30" fillId="8" fontId="39" numFmtId="0" xfId="0" applyAlignment="1" applyBorder="1" applyFill="1" applyFont="1">
      <alignment horizontal="center"/>
    </xf>
    <xf borderId="4" fillId="0" fontId="4" numFmtId="0" xfId="0" applyBorder="1" applyFont="1"/>
    <xf borderId="10" fillId="0" fontId="40" numFmtId="0" xfId="0" applyAlignment="1" applyBorder="1" applyFont="1">
      <alignment shrinkToFit="0" vertical="bottom" wrapText="1"/>
    </xf>
    <xf borderId="11" fillId="0" fontId="40" numFmtId="0" xfId="0" applyAlignment="1" applyBorder="1" applyFont="1">
      <alignment shrinkToFit="0" vertical="bottom" wrapText="1"/>
    </xf>
    <xf borderId="6" fillId="0" fontId="4" numFmtId="0" xfId="0" applyBorder="1" applyFont="1"/>
    <xf borderId="11" fillId="0" fontId="40" numFmtId="0" xfId="0" applyAlignment="1" applyBorder="1" applyFont="1">
      <alignment horizontal="center" vertical="bottom"/>
    </xf>
    <xf borderId="12" fillId="0" fontId="4" numFmtId="0" xfId="0" applyAlignment="1" applyBorder="1" applyFont="1">
      <alignment vertical="bottom"/>
    </xf>
    <xf borderId="53" fillId="0" fontId="14" numFmtId="0" xfId="0" applyBorder="1" applyFont="1"/>
    <xf borderId="13" fillId="0" fontId="40" numFmtId="0" xfId="0" applyAlignment="1" applyBorder="1" applyFont="1">
      <alignment vertical="bottom"/>
    </xf>
    <xf borderId="14" fillId="0" fontId="24" numFmtId="0" xfId="0" applyAlignment="1" applyBorder="1" applyFont="1">
      <alignment shrinkToFit="0" vertical="bottom" wrapText="1"/>
    </xf>
    <xf borderId="14" fillId="0" fontId="40" numFmtId="0" xfId="0" applyAlignment="1" applyBorder="1" applyFont="1">
      <alignment horizontal="center" vertical="bottom"/>
    </xf>
    <xf borderId="30" fillId="0" fontId="24" numFmtId="0" xfId="0" applyAlignment="1" applyBorder="1" applyFont="1">
      <alignment horizontal="center" shrinkToFit="0" wrapText="1"/>
    </xf>
    <xf borderId="15" fillId="0" fontId="4" numFmtId="0" xfId="0" applyAlignment="1" applyBorder="1" applyFont="1">
      <alignment vertical="bottom"/>
    </xf>
    <xf borderId="13" fillId="0" fontId="40" numFmtId="0" xfId="0" applyAlignment="1" applyBorder="1" applyFont="1">
      <alignment shrinkToFit="0" vertical="bottom" wrapText="1"/>
    </xf>
    <xf borderId="1" fillId="2" fontId="41" numFmtId="0" xfId="0" applyAlignment="1" applyBorder="1" applyFill="1" applyFont="1">
      <alignment shrinkToFit="0" vertical="center" wrapText="1"/>
    </xf>
    <xf borderId="63" fillId="0" fontId="3" numFmtId="0" xfId="0" applyAlignment="1" applyBorder="1" applyFont="1">
      <alignment shrinkToFit="0" vertical="center" wrapText="1"/>
    </xf>
    <xf borderId="13" fillId="0" fontId="24" numFmtId="0" xfId="0" applyAlignment="1" applyBorder="1" applyFont="1">
      <alignment vertical="bottom"/>
    </xf>
    <xf borderId="64" fillId="0" fontId="22" numFmtId="0" xfId="0" applyBorder="1" applyFont="1"/>
    <xf borderId="58" fillId="0" fontId="24" numFmtId="0" xfId="0" applyBorder="1" applyFont="1"/>
    <xf borderId="13" fillId="0" fontId="42" numFmtId="0" xfId="0" applyAlignment="1" applyBorder="1" applyFont="1">
      <alignment vertical="bottom"/>
    </xf>
    <xf borderId="65" fillId="0" fontId="24" numFmtId="0" xfId="0" applyAlignment="1" applyBorder="1" applyFont="1">
      <alignment shrinkToFit="0" vertical="center" wrapText="1"/>
    </xf>
    <xf borderId="66" fillId="0" fontId="24" numFmtId="0" xfId="0" applyAlignment="1" applyBorder="1" applyFont="1">
      <alignment shrinkToFit="0" vertical="center" wrapText="1"/>
    </xf>
    <xf borderId="14" fillId="0" fontId="40" numFmtId="0" xfId="0" applyAlignment="1" applyBorder="1" applyFont="1">
      <alignment shrinkToFit="0" vertical="bottom" wrapText="1"/>
    </xf>
    <xf borderId="67" fillId="0" fontId="1" numFmtId="0" xfId="0" applyAlignment="1" applyBorder="1" applyFont="1">
      <alignment horizontal="center" shrinkToFit="0" wrapText="1"/>
    </xf>
    <xf borderId="13" fillId="0" fontId="40" numFmtId="0" xfId="0" applyAlignment="1" applyBorder="1" applyFont="1">
      <alignment vertical="bottom"/>
    </xf>
    <xf borderId="14" fillId="0" fontId="24" numFmtId="0" xfId="0" applyAlignment="1" applyBorder="1" applyFont="1">
      <alignment shrinkToFit="0" vertical="bottom" wrapText="1"/>
    </xf>
    <xf borderId="11" fillId="0" fontId="24" numFmtId="0" xfId="0" applyAlignment="1" applyBorder="1" applyFont="1">
      <alignment horizontal="left" shrinkToFit="0" vertical="center" wrapText="1"/>
    </xf>
    <xf borderId="11" fillId="0" fontId="24" numFmtId="0" xfId="0" applyAlignment="1" applyBorder="1" applyFont="1">
      <alignment horizontal="center" shrinkToFit="0" vertical="center" wrapText="1"/>
    </xf>
    <xf borderId="14" fillId="0" fontId="24" numFmtId="0" xfId="0" applyAlignment="1" applyBorder="1" applyFont="1">
      <alignment horizontal="center" shrinkToFit="0" vertical="center" wrapText="1"/>
    </xf>
    <xf borderId="13" fillId="0" fontId="24" numFmtId="0" xfId="0" applyAlignment="1" applyBorder="1" applyFont="1">
      <alignment vertical="bottom"/>
    </xf>
    <xf borderId="15" fillId="0" fontId="24" numFmtId="0" xfId="0" applyAlignment="1" applyBorder="1" applyFont="1">
      <alignment horizontal="center" shrinkToFit="0" wrapText="1"/>
    </xf>
    <xf borderId="13" fillId="0" fontId="24" numFmtId="0" xfId="0" applyAlignment="1" applyBorder="1" applyFont="1">
      <alignment shrinkToFit="0" vertical="bottom" wrapText="1"/>
    </xf>
    <xf borderId="0" fillId="0" fontId="24" numFmtId="0" xfId="0" applyAlignment="1" applyFont="1">
      <alignment horizontal="center"/>
    </xf>
    <xf borderId="0" fillId="0" fontId="31" numFmtId="0" xfId="0" applyAlignment="1" applyFont="1">
      <alignment horizontal="center" shrinkToFit="0" wrapText="1"/>
    </xf>
    <xf borderId="13" fillId="9" fontId="39" numFmtId="0" xfId="0" applyAlignment="1" applyBorder="1" applyFill="1" applyFont="1">
      <alignment shrinkToFit="0" wrapText="1"/>
    </xf>
    <xf borderId="14" fillId="0" fontId="40" numFmtId="0" xfId="0" applyAlignment="1" applyBorder="1" applyFont="1">
      <alignment horizontal="center" shrinkToFit="0" vertical="bottom" wrapText="1"/>
    </xf>
    <xf borderId="14" fillId="0" fontId="43" numFmtId="0" xfId="0" applyAlignment="1" applyBorder="1" applyFont="1">
      <alignment shrinkToFit="0" wrapText="1"/>
    </xf>
    <xf borderId="15" fillId="0" fontId="31" numFmtId="0" xfId="0" applyAlignment="1" applyBorder="1" applyFont="1">
      <alignment shrinkToFit="0" wrapText="1"/>
    </xf>
    <xf borderId="13" fillId="2" fontId="30" numFmtId="0" xfId="0" applyAlignment="1" applyBorder="1" applyFill="1" applyFont="1">
      <alignment shrinkToFit="0" wrapText="1"/>
    </xf>
    <xf borderId="14" fillId="0" fontId="4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5" fillId="0" fontId="4" numFmtId="0" xfId="0" applyAlignment="1" applyBorder="1" applyFont="1">
      <alignment shrinkToFit="0" vertical="bottom" wrapText="1"/>
    </xf>
    <xf borderId="58" fillId="0" fontId="14" numFmtId="0" xfId="0" applyBorder="1" applyFont="1"/>
    <xf borderId="20" fillId="0" fontId="44" numFmtId="0" xfId="0" applyAlignment="1" applyBorder="1" applyFont="1">
      <alignment vertical="bottom"/>
    </xf>
    <xf borderId="18" fillId="0" fontId="4" numFmtId="0" xfId="0" applyAlignment="1" applyBorder="1" applyFont="1">
      <alignment vertical="bottom"/>
    </xf>
    <xf borderId="21" fillId="0" fontId="4" numFmtId="0" xfId="0" applyAlignment="1" applyBorder="1" applyFont="1">
      <alignment vertical="bottom"/>
    </xf>
    <xf borderId="30" fillId="8" fontId="39" numFmtId="0" xfId="0" applyAlignment="1" applyBorder="1" applyFill="1" applyFont="1">
      <alignment horizontal="center"/>
    </xf>
    <xf borderId="10" fillId="0" fontId="40" numFmtId="0" xfId="0" applyAlignment="1" applyBorder="1" applyFont="1">
      <alignment shrinkToFit="0" vertical="bottom" wrapText="1"/>
    </xf>
    <xf borderId="11" fillId="0" fontId="40" numFmtId="0" xfId="0" applyAlignment="1" applyBorder="1" applyFont="1">
      <alignment shrinkToFit="0" vertical="bottom" wrapText="1"/>
    </xf>
    <xf borderId="68" fillId="0" fontId="14" numFmtId="0" xfId="0" applyBorder="1" applyFont="1"/>
    <xf borderId="18" fillId="0" fontId="24" numFmtId="0" xfId="0" applyAlignment="1" applyBorder="1" applyFont="1">
      <alignment horizontal="left" shrinkToFit="0" vertical="center" wrapText="1"/>
    </xf>
    <xf borderId="35" fillId="6" fontId="3" numFmtId="0" xfId="0" applyAlignment="1" applyBorder="1" applyFill="1" applyFont="1">
      <alignment horizontal="center" shrinkToFit="0" vertical="center" wrapText="1"/>
    </xf>
    <xf borderId="21" fillId="0" fontId="24" numFmtId="0" xfId="0" applyAlignment="1" applyBorder="1" applyFont="1">
      <alignment horizontal="center" shrinkToFit="0" wrapText="1"/>
    </xf>
    <xf borderId="10" fillId="10" fontId="3" numFmtId="0" xfId="0" applyAlignment="1" applyBorder="1" applyFill="1" applyFont="1">
      <alignment shrinkToFit="0" wrapText="1"/>
    </xf>
    <xf borderId="11" fillId="0" fontId="24" numFmtId="0" xfId="0" applyAlignment="1" applyBorder="1" applyFont="1">
      <alignment shrinkToFit="0" wrapText="1"/>
    </xf>
    <xf borderId="14" fillId="0" fontId="4" numFmtId="0" xfId="0" applyAlignment="1" applyBorder="1" applyFont="1">
      <alignment shrinkToFit="0" vertical="bottom" wrapText="1"/>
    </xf>
    <xf borderId="13" fillId="2" fontId="24" numFmtId="0" xfId="0" applyAlignment="1" applyBorder="1" applyFill="1" applyFont="1">
      <alignment shrinkToFit="0" wrapText="1"/>
    </xf>
    <xf borderId="14" fillId="0" fontId="24" numFmtId="0" xfId="0" applyAlignment="1" applyBorder="1" applyFont="1">
      <alignment vertical="bottom"/>
    </xf>
    <xf borderId="22" fillId="2" fontId="24" numFmtId="0" xfId="0" applyAlignment="1" applyBorder="1" applyFill="1" applyFont="1">
      <alignment shrinkToFit="0" wrapText="1"/>
    </xf>
    <xf borderId="62" fillId="0" fontId="4" numFmtId="0" xfId="0" applyAlignment="1" applyBorder="1" applyFont="1">
      <alignment shrinkToFit="0" vertical="bottom" wrapText="1"/>
    </xf>
    <xf borderId="23" fillId="2" fontId="24" numFmtId="0" xfId="0" applyAlignment="1" applyBorder="1" applyFill="1" applyFont="1">
      <alignment shrinkToFit="0" wrapText="1"/>
    </xf>
    <xf borderId="59" fillId="0" fontId="4" numFmtId="0" xfId="0" applyAlignment="1" applyBorder="1" applyFont="1">
      <alignment shrinkToFit="0" vertical="bottom" wrapText="1"/>
    </xf>
    <xf borderId="51" fillId="2" fontId="24" numFmtId="0" xfId="0" applyAlignment="1" applyBorder="1" applyFill="1" applyFont="1">
      <alignment shrinkToFit="0" wrapText="1"/>
    </xf>
    <xf borderId="69" fillId="2" fontId="24" numFmtId="0" xfId="0" applyAlignment="1" applyBorder="1" applyFill="1" applyFont="1">
      <alignment shrinkToFit="0" wrapText="1"/>
    </xf>
    <xf borderId="29" fillId="0" fontId="4" numFmtId="0" xfId="0" applyAlignment="1" applyBorder="1" applyFont="1">
      <alignment vertical="bottom"/>
    </xf>
    <xf borderId="48" fillId="0" fontId="4" numFmtId="0" xfId="0" applyAlignment="1" applyBorder="1" applyFont="1">
      <alignment shrinkToFit="0" vertical="bottom" wrapText="1"/>
    </xf>
    <xf borderId="51" fillId="6" fontId="3" numFmtId="0" xfId="0" applyAlignment="1" applyBorder="1" applyFill="1" applyFont="1">
      <alignment horizontal="center" shrinkToFit="0" vertical="center" wrapText="1"/>
    </xf>
    <xf borderId="51" fillId="9" fontId="6" numFmtId="0" xfId="0" applyAlignment="1" applyBorder="1" applyFill="1" applyFont="1">
      <alignment shrinkToFit="0" wrapText="1"/>
    </xf>
    <xf borderId="13" fillId="0" fontId="1" numFmtId="0" xfId="0" applyAlignment="1" applyBorder="1" applyFont="1">
      <alignment shrinkToFit="0" wrapText="1"/>
    </xf>
    <xf borderId="13" fillId="0" fontId="1" numFmtId="0" xfId="0" applyBorder="1" applyFont="1"/>
    <xf borderId="54" fillId="0" fontId="1" numFmtId="0" xfId="0" applyAlignment="1" applyBorder="1" applyFont="1">
      <alignment horizontal="left" shrinkToFit="0" wrapText="1"/>
    </xf>
    <xf borderId="53" fillId="0" fontId="4" numFmtId="0" xfId="0" applyAlignment="1" applyBorder="1" applyFont="1">
      <alignment vertical="bottom"/>
    </xf>
    <xf borderId="13" fillId="9" fontId="6" numFmtId="0" xfId="0" applyAlignment="1" applyBorder="1" applyFill="1" applyFont="1">
      <alignment shrinkToFit="0" wrapText="1"/>
    </xf>
    <xf borderId="37" fillId="0" fontId="1" numFmtId="0" xfId="0" applyAlignment="1" applyBorder="1" applyFont="1">
      <alignment horizontal="left" shrinkToFit="0" wrapText="1"/>
    </xf>
    <xf borderId="55" fillId="0" fontId="1" numFmtId="0" xfId="0" applyBorder="1" applyFont="1"/>
    <xf borderId="70" fillId="0" fontId="1" numFmtId="0" xfId="0" applyAlignment="1" applyBorder="1" applyFont="1">
      <alignment horizontal="left" shrinkToFit="0" wrapText="1"/>
    </xf>
    <xf borderId="21" fillId="0" fontId="1" numFmtId="0" xfId="0" applyAlignment="1" applyBorder="1" applyFont="1">
      <alignment horizontal="left"/>
    </xf>
    <xf borderId="12" fillId="0" fontId="24" numFmtId="0" xfId="0" applyAlignment="1" applyBorder="1" applyFont="1">
      <alignment horizontal="center" shrinkToFit="0" wrapText="1"/>
    </xf>
    <xf borderId="20" fillId="0" fontId="39" numFmtId="0" xfId="0" applyAlignment="1" applyBorder="1" applyFont="1">
      <alignment shrinkToFit="0" wrapText="1"/>
    </xf>
    <xf borderId="18" fillId="0" fontId="45" numFmtId="0" xfId="0" applyAlignment="1" applyBorder="1" applyFont="1">
      <alignment shrinkToFit="0" wrapText="1"/>
    </xf>
    <xf borderId="0" fillId="0" fontId="39" numFmtId="0" xfId="0" applyAlignment="1" applyFont="1">
      <alignment shrinkToFit="0" wrapText="1"/>
    </xf>
    <xf borderId="0" fillId="0" fontId="45" numFmtId="0" xfId="0" applyAlignment="1" applyFont="1">
      <alignment shrinkToFit="0" wrapText="1"/>
    </xf>
    <xf borderId="38" fillId="0" fontId="1" numFmtId="0" xfId="0" applyAlignment="1" applyBorder="1" applyFont="1">
      <alignment horizontal="left" shrinkToFit="0" vertical="center" wrapText="1"/>
    </xf>
    <xf borderId="38" fillId="0" fontId="1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vertical="bottom"/>
    </xf>
    <xf borderId="1" fillId="2" fontId="3" numFmtId="0" xfId="0" applyAlignment="1" applyBorder="1" applyFill="1" applyFont="1">
      <alignment horizontal="center" shrinkToFit="0" vertical="center" wrapText="1"/>
    </xf>
    <xf borderId="15" fillId="0" fontId="22" numFmtId="0" xfId="0" applyBorder="1" applyFont="1"/>
    <xf borderId="62" fillId="0" fontId="24" numFmtId="0" xfId="0" applyAlignment="1" applyBorder="1" applyFont="1">
      <alignment shrinkToFit="0" vertical="center" wrapText="1"/>
    </xf>
    <xf borderId="58" fillId="0" fontId="24" numFmtId="0" xfId="0" applyAlignment="1" applyBorder="1" applyFont="1">
      <alignment shrinkToFit="0" vertical="center" wrapText="1"/>
    </xf>
    <xf borderId="18" fillId="0" fontId="43" numFmtId="0" xfId="0" applyAlignment="1" applyBorder="1" applyFont="1">
      <alignment shrinkToFit="0" wrapText="1"/>
    </xf>
    <xf borderId="58" fillId="0" fontId="1" numFmtId="0" xfId="0" applyAlignment="1" applyBorder="1" applyFont="1">
      <alignment horizontal="center" shrinkToFit="0" vertical="center" wrapText="1"/>
    </xf>
    <xf borderId="56" fillId="0" fontId="22" numFmtId="0" xfId="0" applyBorder="1" applyFont="1"/>
    <xf borderId="71" fillId="0" fontId="1" numFmtId="0" xfId="0" applyAlignment="1" applyBorder="1" applyFont="1">
      <alignment horizontal="center" shrinkToFit="0" wrapText="1"/>
    </xf>
    <xf borderId="10" fillId="2" fontId="3" numFmtId="0" xfId="0" applyAlignment="1" applyBorder="1" applyFill="1" applyFont="1">
      <alignment shrinkToFit="0" wrapText="1"/>
    </xf>
    <xf borderId="11" fillId="2" fontId="24" numFmtId="0" xfId="0" applyAlignment="1" applyBorder="1" applyFill="1" applyFont="1">
      <alignment shrinkToFit="0" wrapText="1"/>
    </xf>
    <xf borderId="21" fillId="0" fontId="22" numFmtId="0" xfId="0" applyBorder="1" applyFont="1"/>
    <xf borderId="20" fillId="2" fontId="3" numFmtId="0" xfId="0" applyAlignment="1" applyBorder="1" applyFill="1" applyFont="1">
      <alignment shrinkToFit="0" wrapText="1"/>
    </xf>
    <xf borderId="18" fillId="2" fontId="24" numFmtId="0" xfId="0" applyAlignment="1" applyBorder="1" applyFill="1" applyFont="1">
      <alignment shrinkToFit="0" wrapText="1"/>
    </xf>
    <xf borderId="65" fillId="0" fontId="3" numFmtId="0" xfId="0" applyAlignment="1" applyBorder="1" applyFont="1">
      <alignment shrinkToFit="0" vertical="center" wrapText="1"/>
    </xf>
    <xf borderId="1" fillId="2" fontId="3" numFmtId="0" xfId="0" applyAlignment="1" applyBorder="1" applyFill="1" applyFont="1">
      <alignment shrinkToFit="0" wrapText="1"/>
    </xf>
    <xf borderId="66" fillId="0" fontId="1" numFmtId="0" xfId="0" applyAlignment="1" applyBorder="1" applyFont="1">
      <alignment horizontal="left" shrinkToFit="0" vertical="center" wrapText="1"/>
    </xf>
    <xf borderId="1" fillId="2" fontId="24" numFmtId="0" xfId="0" applyAlignment="1" applyBorder="1" applyFill="1" applyFont="1">
      <alignment shrinkToFit="0" wrapText="1"/>
    </xf>
    <xf borderId="66" fillId="0" fontId="3" numFmtId="0" xfId="0" applyAlignment="1" applyBorder="1" applyFont="1">
      <alignment horizontal="center" shrinkToFit="0" vertical="center" wrapText="1"/>
    </xf>
    <xf borderId="71" fillId="0" fontId="24" numFmtId="0" xfId="0" applyAlignment="1" applyBorder="1" applyFont="1">
      <alignment horizontal="center" shrinkToFit="0" wrapText="1"/>
    </xf>
    <xf borderId="67" fillId="0" fontId="22" numFmtId="0" xfId="0" applyBorder="1" applyFont="1"/>
    <xf borderId="20" fillId="2" fontId="39" numFmtId="0" xfId="0" applyAlignment="1" applyBorder="1" applyFill="1" applyFont="1">
      <alignment shrinkToFit="0" wrapText="1"/>
    </xf>
    <xf borderId="18" fillId="2" fontId="45" numFmtId="0" xfId="0" applyAlignment="1" applyBorder="1" applyFill="1" applyFont="1">
      <alignment shrinkToFit="0" wrapText="1"/>
    </xf>
    <xf borderId="1" fillId="2" fontId="39" numFmtId="0" xfId="0" applyAlignment="1" applyBorder="1" applyFill="1" applyFont="1">
      <alignment shrinkToFit="0" wrapText="1"/>
    </xf>
    <xf borderId="1" fillId="2" fontId="45" numFmtId="0" xfId="0" applyAlignment="1" applyBorder="1" applyFill="1" applyFont="1">
      <alignment shrinkToFit="0" wrapText="1"/>
    </xf>
    <xf borderId="16" fillId="2" fontId="39" numFmtId="0" xfId="0" applyAlignment="1" applyBorder="1" applyFill="1" applyFont="1">
      <alignment shrinkToFit="0" wrapText="1"/>
    </xf>
    <xf borderId="16" fillId="2" fontId="45" numFmtId="0" xfId="0" applyAlignment="1" applyBorder="1" applyFill="1" applyFont="1">
      <alignment shrinkToFit="0" wrapText="1"/>
    </xf>
    <xf borderId="30" fillId="0" fontId="1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46" fillId="2" fontId="1" numFmtId="0" xfId="0" applyAlignment="1" applyBorder="1" applyFill="1" applyFont="1">
      <alignment shrinkToFit="0" wrapText="1"/>
    </xf>
    <xf borderId="58" fillId="0" fontId="1" numFmtId="0" xfId="0" applyAlignment="1" applyBorder="1" applyFont="1">
      <alignment horizontal="center" shrinkToFit="0" wrapText="1"/>
    </xf>
    <xf borderId="72" fillId="2" fontId="1" numFmtId="0" xfId="0" applyAlignment="1" applyBorder="1" applyFill="1" applyFont="1">
      <alignment shrinkToFit="0" wrapText="1"/>
    </xf>
    <xf borderId="53" fillId="0" fontId="1" numFmtId="0" xfId="0" applyAlignment="1" applyBorder="1" applyFont="1">
      <alignment horizontal="center" shrinkToFit="0" wrapText="1"/>
    </xf>
    <xf borderId="18" fillId="2" fontId="43" numFmtId="0" xfId="0" applyAlignment="1" applyBorder="1" applyFill="1" applyFont="1">
      <alignment shrinkToFit="0" wrapText="1"/>
    </xf>
    <xf borderId="1" fillId="2" fontId="43" numFmtId="0" xfId="0" applyAlignment="1" applyBorder="1" applyFill="1" applyFont="1">
      <alignment shrinkToFit="0" wrapText="1"/>
    </xf>
    <xf borderId="14" fillId="2" fontId="46" numFmtId="0" xfId="0" applyAlignment="1" applyBorder="1" applyFill="1" applyFont="1">
      <alignment shrinkToFit="0" wrapText="1"/>
    </xf>
    <xf borderId="17" fillId="6" fontId="3" numFmtId="0" xfId="0" applyAlignment="1" applyBorder="1" applyFill="1" applyFont="1">
      <alignment horizontal="center" vertical="center"/>
    </xf>
    <xf borderId="71" fillId="0" fontId="22" numFmtId="0" xfId="0" applyBorder="1" applyFont="1"/>
    <xf borderId="18" fillId="0" fontId="30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0" fillId="9" fontId="3" numFmtId="0" xfId="0" applyAlignment="1" applyBorder="1" applyFill="1" applyFont="1">
      <alignment shrinkToFit="0" wrapText="1"/>
    </xf>
    <xf borderId="13" fillId="0" fontId="6" numFmtId="0" xfId="0" applyAlignment="1" applyBorder="1" applyFont="1">
      <alignment shrinkToFit="0" wrapText="1"/>
    </xf>
    <xf borderId="13" fillId="10" fontId="6" numFmtId="0" xfId="0" applyAlignment="1" applyBorder="1" applyFill="1" applyFont="1">
      <alignment shrinkToFit="0" wrapText="1"/>
    </xf>
    <xf borderId="17" fillId="2" fontId="47" numFmtId="0" xfId="0" applyAlignment="1" applyBorder="1" applyFill="1" applyFont="1">
      <alignment horizontal="center" shrinkToFit="0" vertical="center" wrapText="1"/>
    </xf>
    <xf borderId="1" fillId="2" fontId="48" numFmtId="0" xfId="0" applyAlignment="1" applyBorder="1" applyFill="1" applyFont="1">
      <alignment horizontal="center" shrinkToFit="0" vertical="center" wrapText="1"/>
    </xf>
    <xf borderId="0" fillId="0" fontId="24" numFmtId="0" xfId="0" applyAlignment="1" applyFont="1">
      <alignment horizontal="left" shrinkToFit="0" vertical="center" wrapText="1"/>
    </xf>
    <xf borderId="73" fillId="4" fontId="3" numFmtId="0" xfId="0" applyAlignment="1" applyBorder="1" applyFill="1" applyFont="1">
      <alignment horizontal="center" shrinkToFit="0" vertical="center" wrapText="1"/>
    </xf>
    <xf borderId="18" fillId="0" fontId="48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left" shrinkToFit="0" vertical="center" wrapText="1"/>
    </xf>
    <xf borderId="13" fillId="0" fontId="3" numFmtId="0" xfId="0" applyAlignment="1" applyBorder="1" applyFont="1">
      <alignment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31" fillId="0" fontId="22" numFmtId="0" xfId="0" applyBorder="1" applyFont="1"/>
    <xf borderId="61" fillId="2" fontId="49" numFmtId="0" xfId="0" applyAlignment="1" applyBorder="1" applyFill="1" applyFont="1">
      <alignment horizontal="center" shrinkToFit="0" vertical="center" wrapText="1"/>
    </xf>
    <xf borderId="74" fillId="0" fontId="14" numFmtId="0" xfId="0" applyBorder="1" applyFont="1"/>
    <xf borderId="75" fillId="3" fontId="21" numFmtId="0" xfId="0" applyAlignment="1" applyBorder="1" applyFill="1" applyFont="1">
      <alignment horizontal="center" shrinkToFit="0" vertical="center" wrapText="1"/>
    </xf>
    <xf borderId="76" fillId="3" fontId="21" numFmtId="0" xfId="0" applyAlignment="1" applyBorder="1" applyFill="1" applyFont="1">
      <alignment horizontal="center" shrinkToFit="0" vertical="center" wrapText="1"/>
    </xf>
    <xf borderId="72" fillId="3" fontId="21" numFmtId="0" xfId="0" applyAlignment="1" applyBorder="1" applyFill="1" applyFont="1">
      <alignment horizontal="center" shrinkToFit="0" vertical="center" wrapText="1"/>
    </xf>
    <xf borderId="77" fillId="3" fontId="21" numFmtId="0" xfId="0" applyAlignment="1" applyBorder="1" applyFill="1" applyFont="1">
      <alignment horizontal="center" vertical="center"/>
    </xf>
    <xf borderId="17" fillId="4" fontId="3" numFmtId="0" xfId="0" applyAlignment="1" applyBorder="1" applyFill="1" applyFont="1">
      <alignment horizontal="center" shrinkToFit="0" wrapText="1"/>
    </xf>
    <xf borderId="13" fillId="0" fontId="50" numFmtId="0" xfId="0" applyAlignment="1" applyBorder="1" applyFont="1">
      <alignment shrinkToFit="0" wrapText="1"/>
    </xf>
    <xf borderId="14" fillId="0" fontId="43" numFmtId="0" xfId="0" applyBorder="1" applyFont="1"/>
    <xf borderId="13" fillId="0" fontId="30" numFmtId="0" xfId="0" applyBorder="1" applyFont="1"/>
    <xf borderId="14" fillId="2" fontId="24" numFmtId="0" xfId="0" applyAlignment="1" applyBorder="1" applyFill="1" applyFont="1">
      <alignment shrinkToFit="0" vertical="center" wrapText="1"/>
    </xf>
    <xf borderId="18" fillId="0" fontId="24" numFmtId="0" xfId="0" applyAlignment="1" applyBorder="1" applyFont="1">
      <alignment horizontal="center" shrinkToFit="0" vertical="center" wrapText="1"/>
    </xf>
    <xf borderId="52" fillId="0" fontId="1" numFmtId="0" xfId="0" applyBorder="1" applyFont="1"/>
    <xf borderId="53" fillId="0" fontId="1" numFmtId="0" xfId="0" applyBorder="1" applyFont="1"/>
    <xf borderId="10" fillId="0" fontId="3" numFmtId="0" xfId="0" applyBorder="1" applyFont="1"/>
    <xf borderId="14" fillId="0" fontId="1" numFmtId="0" xfId="0" applyAlignment="1" applyBorder="1" applyFont="1">
      <alignment horizontal="left" shrinkToFit="0" vertical="center" wrapText="1"/>
    </xf>
    <xf borderId="18" fillId="0" fontId="43" numFmtId="0" xfId="0" applyBorder="1" applyFont="1"/>
    <xf borderId="10" fillId="0" fontId="6" numFmtId="0" xfId="0" applyAlignment="1" applyBorder="1" applyFont="1">
      <alignment shrinkToFit="0" wrapText="1"/>
    </xf>
    <xf borderId="20" fillId="0" fontId="6" numFmtId="0" xfId="0" applyAlignment="1" applyBorder="1" applyFont="1">
      <alignment shrinkToFit="0" wrapText="1"/>
    </xf>
    <xf borderId="14" fillId="0" fontId="24" numFmtId="0" xfId="0" applyAlignment="1" applyBorder="1" applyFont="1">
      <alignment vertical="center"/>
    </xf>
    <xf borderId="52" fillId="0" fontId="3" numFmtId="0" xfId="0" applyBorder="1" applyFont="1"/>
    <xf borderId="53" fillId="0" fontId="45" numFmtId="0" xfId="0" applyBorder="1" applyFont="1"/>
    <xf borderId="10" fillId="0" fontId="24" numFmtId="0" xfId="0" applyAlignment="1" applyBorder="1" applyFont="1">
      <alignment shrinkToFit="0" vertical="center" wrapText="1"/>
    </xf>
    <xf borderId="13" fillId="0" fontId="24" numFmtId="0" xfId="0" applyAlignment="1" applyBorder="1" applyFont="1">
      <alignment vertical="center"/>
    </xf>
    <xf borderId="15" fillId="2" fontId="24" numFmtId="0" xfId="0" applyBorder="1" applyFill="1" applyFont="1"/>
    <xf borderId="1" fillId="2" fontId="45" numFmtId="0" xfId="0" applyBorder="1" applyFill="1" applyFont="1"/>
    <xf borderId="18" fillId="2" fontId="24" numFmtId="0" xfId="0" applyBorder="1" applyFill="1" applyFont="1"/>
    <xf borderId="21" fillId="2" fontId="24" numFmtId="0" xfId="0" applyBorder="1" applyFill="1" applyFont="1"/>
    <xf borderId="76" fillId="2" fontId="3" numFmtId="0" xfId="0" applyAlignment="1" applyBorder="1" applyFill="1" applyFont="1">
      <alignment shrinkToFit="0" wrapText="1"/>
    </xf>
    <xf borderId="72" fillId="2" fontId="24" numFmtId="0" xfId="0" applyAlignment="1" applyBorder="1" applyFill="1" applyFont="1">
      <alignment shrinkToFit="0" wrapText="1"/>
    </xf>
    <xf borderId="53" fillId="0" fontId="24" numFmtId="0" xfId="0" applyAlignment="1" applyBorder="1" applyFont="1">
      <alignment horizontal="center" shrinkToFit="0" vertical="center" wrapText="1"/>
    </xf>
    <xf borderId="54" fillId="0" fontId="24" numFmtId="0" xfId="0" applyAlignment="1" applyBorder="1" applyFont="1">
      <alignment horizontal="center" shrinkToFit="0" wrapText="1"/>
    </xf>
    <xf borderId="52" fillId="0" fontId="3" numFmtId="0" xfId="0" applyAlignment="1" applyBorder="1" applyFont="1">
      <alignment shrinkToFit="0" wrapText="1"/>
    </xf>
    <xf borderId="0" fillId="0" fontId="24" numFmtId="0" xfId="0" applyAlignment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Alignment="1" applyBorder="1" applyFont="1">
      <alignment shrinkToFit="0" wrapText="1"/>
    </xf>
    <xf borderId="0" fillId="0" fontId="51" numFmtId="0" xfId="0" applyAlignment="1" applyFont="1">
      <alignment horizontal="center"/>
    </xf>
    <xf borderId="13" fillId="0" fontId="4" numFmtId="0" xfId="0" applyAlignment="1" applyBorder="1" applyFont="1">
      <alignment shrinkToFit="0" wrapText="1"/>
    </xf>
    <xf borderId="20" fillId="0" fontId="39" numFmtId="0" xfId="0" applyBorder="1" applyFont="1"/>
    <xf borderId="18" fillId="2" fontId="45" numFmtId="0" xfId="0" applyBorder="1" applyFill="1" applyFont="1"/>
    <xf borderId="34" fillId="4" fontId="1" numFmtId="0" xfId="0" applyAlignment="1" applyBorder="1" applyFill="1" applyFont="1">
      <alignment horizontal="center"/>
    </xf>
    <xf borderId="14" fillId="0" fontId="24" numFmtId="0" xfId="0" applyAlignment="1" applyBorder="1" applyFont="1">
      <alignment horizontal="center"/>
    </xf>
    <xf borderId="35" fillId="4" fontId="3" numFmtId="0" xfId="0" applyAlignment="1" applyBorder="1" applyFill="1" applyFont="1">
      <alignment horizontal="center"/>
    </xf>
    <xf borderId="0" fillId="0" fontId="21" numFmtId="0" xfId="0" applyAlignment="1" applyFont="1">
      <alignment horizontal="center" vertical="center"/>
    </xf>
    <xf borderId="51" fillId="4" fontId="1" numFmtId="0" xfId="0" applyAlignment="1" applyBorder="1" applyFill="1" applyFont="1">
      <alignment horizontal="center"/>
    </xf>
    <xf borderId="18" fillId="0" fontId="24" numFmtId="0" xfId="0" applyAlignment="1" applyBorder="1" applyFont="1">
      <alignment horizontal="center"/>
    </xf>
    <xf borderId="21" fillId="2" fontId="6" numFmtId="0" xfId="0" applyAlignment="1" applyBorder="1" applyFill="1" applyFont="1">
      <alignment horizontal="center" shrinkToFit="0" wrapText="1"/>
    </xf>
    <xf borderId="52" fillId="0" fontId="4" numFmtId="0" xfId="0" applyBorder="1" applyFont="1"/>
    <xf borderId="53" fillId="0" fontId="4" numFmtId="0" xfId="0" applyAlignment="1" applyBorder="1" applyFont="1">
      <alignment shrinkToFit="0" wrapText="1"/>
    </xf>
    <xf borderId="72" fillId="2" fontId="1" numFmtId="0" xfId="0" applyAlignment="1" applyBorder="1" applyFill="1" applyFont="1">
      <alignment horizontal="center" shrinkToFit="0" wrapText="1"/>
    </xf>
    <xf borderId="12" fillId="2" fontId="24" numFmtId="0" xfId="0" applyAlignment="1" applyBorder="1" applyFill="1" applyFont="1">
      <alignment horizontal="center" shrinkToFit="0" wrapText="1"/>
    </xf>
    <xf borderId="15" fillId="2" fontId="24" numFmtId="0" xfId="0" applyAlignment="1" applyBorder="1" applyFill="1" applyFont="1">
      <alignment horizontal="center" shrinkToFit="0" wrapText="1"/>
    </xf>
    <xf borderId="15" fillId="11" fontId="24" numFmtId="0" xfId="0" applyBorder="1" applyFill="1" applyFont="1"/>
    <xf borderId="0" fillId="0" fontId="52" numFmtId="0" xfId="0" applyAlignment="1" applyFont="1">
      <alignment shrinkToFit="0" wrapText="1"/>
    </xf>
    <xf borderId="15" fillId="11" fontId="24" numFmtId="0" xfId="0" applyAlignment="1" applyBorder="1" applyFill="1" applyFont="1">
      <alignment horizontal="center"/>
    </xf>
    <xf borderId="1" fillId="2" fontId="52" numFmtId="0" xfId="0" applyAlignment="1" applyBorder="1" applyFill="1" applyFont="1">
      <alignment shrinkToFit="0" wrapText="1"/>
    </xf>
    <xf borderId="1" fillId="2" fontId="6" numFmtId="0" xfId="0" applyAlignment="1" applyBorder="1" applyFill="1" applyFont="1">
      <alignment horizontal="center" shrinkToFit="0" wrapText="1"/>
    </xf>
    <xf borderId="1" fillId="2" fontId="53" numFmtId="0" xfId="0" applyAlignment="1" applyBorder="1" applyFill="1" applyFont="1">
      <alignment shrinkToFit="0" wrapText="1"/>
    </xf>
    <xf borderId="11" fillId="0" fontId="4" numFmtId="0" xfId="0" applyBorder="1" applyFont="1"/>
    <xf borderId="11" fillId="0" fontId="4" numFmtId="0" xfId="0" applyAlignment="1" applyBorder="1" applyFont="1">
      <alignment shrinkToFit="0" wrapText="1"/>
    </xf>
    <xf borderId="14" fillId="0" fontId="30" numFmtId="0" xfId="0" applyBorder="1" applyFont="1"/>
    <xf borderId="14" fillId="0" fontId="4" numFmtId="0" xfId="0" applyBorder="1" applyFont="1"/>
    <xf borderId="30" fillId="0" fontId="30" numFmtId="0" xfId="0" applyBorder="1" applyFont="1"/>
    <xf borderId="30" fillId="0" fontId="30" numFmtId="0" xfId="0" applyAlignment="1" applyBorder="1" applyFont="1">
      <alignment shrinkToFit="0" wrapText="1"/>
    </xf>
    <xf borderId="18" fillId="0" fontId="30" numFmtId="0" xfId="0" applyBorder="1" applyFont="1"/>
    <xf borderId="18" fillId="0" fontId="45" numFmtId="0" xfId="0" applyBorder="1" applyFont="1"/>
    <xf borderId="11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shrinkToFit="0" wrapText="1"/>
    </xf>
    <xf borderId="20" fillId="0" fontId="24" numFmtId="0" xfId="0" applyBorder="1" applyFont="1"/>
    <xf borderId="13" fillId="2" fontId="24" numFmtId="0" xfId="0" applyBorder="1" applyFill="1" applyFont="1"/>
    <xf borderId="20" fillId="2" fontId="3" numFmtId="0" xfId="0" applyBorder="1" applyFill="1" applyFont="1"/>
    <xf borderId="0" fillId="0" fontId="30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wrapText="1"/>
    </xf>
    <xf borderId="12" fillId="2" fontId="24" numFmtId="0" xfId="0" applyAlignment="1" applyBorder="1" applyFill="1" applyFont="1">
      <alignment shrinkToFit="0" wrapText="1"/>
    </xf>
    <xf borderId="12" fillId="2" fontId="1" numFmtId="0" xfId="0" applyAlignment="1" applyBorder="1" applyFill="1" applyFont="1">
      <alignment shrinkToFit="0" wrapText="1"/>
    </xf>
    <xf borderId="15" fillId="2" fontId="1" numFmtId="0" xfId="0" applyAlignment="1" applyBorder="1" applyFill="1" applyFont="1">
      <alignment horizontal="center" shrinkToFit="0" wrapText="1"/>
    </xf>
    <xf borderId="18" fillId="0" fontId="1" numFmtId="0" xfId="0" applyAlignment="1" applyBorder="1" applyFont="1">
      <alignment shrinkToFit="0" wrapText="1"/>
    </xf>
    <xf borderId="21" fillId="2" fontId="3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123825</xdr:rowOff>
    </xdr:from>
    <xdr:ext cx="3400425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1400175</xdr:colOff>
      <xdr:row>0</xdr:row>
      <xdr:rowOff>0</xdr:rowOff>
    </xdr:from>
    <xdr:ext cx="2276475" cy="923925"/>
    <xdr:pic>
      <xdr:nvPicPr>
        <xdr:cNvPr descr="Newwaves Ecosystem | LinkedIn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171450</xdr:colOff>
      <xdr:row>0</xdr:row>
      <xdr:rowOff>66675</xdr:rowOff>
    </xdr:from>
    <xdr:ext cx="3314700" cy="9429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0</xdr:row>
      <xdr:rowOff>38100</xdr:rowOff>
    </xdr:from>
    <xdr:ext cx="3419475" cy="6381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1181100</xdr:colOff>
      <xdr:row>1</xdr:row>
      <xdr:rowOff>9525</xdr:rowOff>
    </xdr:from>
    <xdr:ext cx="3429000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1</xdr:row>
      <xdr:rowOff>9525</xdr:rowOff>
    </xdr:from>
    <xdr:ext cx="3390900" cy="7524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30505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305050" cy="857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419475" cy="6858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4486275</xdr:colOff>
      <xdr:row>0</xdr:row>
      <xdr:rowOff>0</xdr:rowOff>
    </xdr:from>
    <xdr:ext cx="2095500" cy="12954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1181100</xdr:colOff>
      <xdr:row>1</xdr:row>
      <xdr:rowOff>9525</xdr:rowOff>
    </xdr:from>
    <xdr:ext cx="3429000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1181100</xdr:colOff>
      <xdr:row>1</xdr:row>
      <xdr:rowOff>9525</xdr:rowOff>
    </xdr:from>
    <xdr:ext cx="3429000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01.29"/>
    <col customWidth="1" min="3" max="22" width="9.0"/>
  </cols>
  <sheetData>
    <row r="1" ht="15.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.0" customHeight="1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.5" customHeight="1">
      <c r="A8" s="1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.25" customHeight="1">
      <c r="A11" s="1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.25" customHeight="1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" t="s">
        <v>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3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.75" customHeight="1">
      <c r="A17" s="1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" t="s">
        <v>13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3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.0" customHeight="1">
      <c r="A20" s="1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4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3" t="s">
        <v>17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.25" customHeight="1">
      <c r="A23" s="1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" t="s">
        <v>19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3" t="s">
        <v>20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.25" customHeight="1">
      <c r="A26" s="1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4" t="s">
        <v>22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" t="s">
        <v>23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showGridLines="0" workbookViewId="0"/>
  </sheetViews>
  <sheetFormatPr customHeight="1" defaultColWidth="14.43" defaultRowHeight="15.0"/>
  <cols>
    <col customWidth="1" min="1" max="1" width="7.86"/>
    <col customWidth="1" min="2" max="2" width="31.29"/>
    <col customWidth="1" min="3" max="3" width="2.43"/>
    <col customWidth="1" min="4" max="4" width="67.0"/>
    <col customWidth="1" min="5" max="5" width="65.43"/>
    <col customWidth="1" min="6" max="6" width="27.71"/>
    <col customWidth="1" min="7" max="7" width="36.71"/>
    <col customWidth="1" min="8" max="27" width="8.86"/>
  </cols>
  <sheetData>
    <row r="1" ht="14.25" customHeight="1">
      <c r="A1" s="6"/>
      <c r="B1" s="8"/>
      <c r="C1" s="6"/>
      <c r="D1" s="9"/>
      <c r="E1" s="11"/>
      <c r="F1" s="11"/>
      <c r="G1" s="1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6"/>
      <c r="B2" s="8"/>
      <c r="C2" s="6"/>
      <c r="D2" s="9"/>
      <c r="E2" s="19"/>
      <c r="F2" s="23"/>
      <c r="G2" s="13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7.75" customHeight="1">
      <c r="A3" s="6"/>
      <c r="B3" s="8"/>
      <c r="C3" s="6"/>
      <c r="D3" s="7" t="s">
        <v>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/>
      <c r="B4" s="8"/>
      <c r="C4" s="6"/>
      <c r="D4" s="9"/>
      <c r="E4" s="29"/>
      <c r="F4" s="12"/>
      <c r="G4" s="13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4.25" customHeight="1">
      <c r="A5" s="6"/>
      <c r="B5" s="8"/>
      <c r="C5" s="6"/>
      <c r="D5" s="9"/>
      <c r="E5" s="12"/>
      <c r="F5" s="12"/>
      <c r="G5" s="13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4.25" customHeight="1">
      <c r="A6" s="6"/>
      <c r="B6" s="8"/>
      <c r="C6" s="6"/>
      <c r="D6" s="9"/>
      <c r="E6" s="12"/>
      <c r="F6" s="12"/>
      <c r="G6" s="1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4.25" customHeight="1">
      <c r="A7" s="6"/>
      <c r="B7" s="8"/>
      <c r="C7" s="6"/>
      <c r="D7" s="9"/>
      <c r="E7" s="12"/>
      <c r="F7" s="12"/>
      <c r="G7" s="13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14.25" customHeight="1">
      <c r="A8" s="6"/>
      <c r="B8" s="6"/>
      <c r="C8" s="12"/>
      <c r="D8" s="12" t="s">
        <v>18</v>
      </c>
      <c r="E8" s="14"/>
      <c r="F8" s="15" t="s">
        <v>21</v>
      </c>
      <c r="G8" s="1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4.25" customHeight="1">
      <c r="A9" s="6"/>
      <c r="B9" s="8"/>
      <c r="C9" s="6"/>
      <c r="D9" s="24"/>
      <c r="E9" s="23"/>
      <c r="F9" s="25" t="s">
        <v>24</v>
      </c>
      <c r="G9" s="1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4.25" customHeight="1">
      <c r="A10" s="6"/>
      <c r="B10" s="8"/>
      <c r="C10" s="12"/>
      <c r="D10" s="15"/>
      <c r="E10" s="23"/>
      <c r="F10" s="15" t="s">
        <v>26</v>
      </c>
      <c r="G10" s="30" t="s">
        <v>32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4.25" customHeight="1">
      <c r="A11" s="6"/>
      <c r="B11" s="8"/>
      <c r="C11" s="12"/>
      <c r="D11" s="15" t="s">
        <v>28</v>
      </c>
      <c r="E11" s="43" t="str">
        <f>'LOGIN TO ECMS'!E11+#REF!+DASHBOARD!E9+REQUEST!E10+#REF!+TICKET!E10+'WORKFLOW  '!E11+#REF!</f>
        <v>#REF!</v>
      </c>
      <c r="F11" s="15" t="s">
        <v>30</v>
      </c>
      <c r="G11" s="30" t="s">
        <v>38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4.25" customHeight="1">
      <c r="A12" s="6"/>
      <c r="B12" s="8"/>
      <c r="C12" s="12"/>
      <c r="D12" s="15" t="s">
        <v>33</v>
      </c>
      <c r="E12" s="43" t="str">
        <f>'LOGIN TO ECMS'!E12+#REF!+DASHBOARD!E10+REQUEST!E11+#REF!+TICKET!E11+'WORKFLOW  '!E12+#REF!</f>
        <v>#REF!</v>
      </c>
      <c r="F12" s="14" t="s">
        <v>34</v>
      </c>
      <c r="G12" s="11" t="str">
        <f>E11/E13*100</f>
        <v>#REF!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4.25" customHeight="1">
      <c r="A13" s="6"/>
      <c r="B13" s="8"/>
      <c r="C13" s="12"/>
      <c r="D13" s="15" t="s">
        <v>46</v>
      </c>
      <c r="E13" s="63" t="str">
        <f>SUM(E11:E12)</f>
        <v>#REF!</v>
      </c>
      <c r="F13" s="14" t="s">
        <v>37</v>
      </c>
      <c r="G13" s="11" t="str">
        <f>E12/E13*100</f>
        <v>#REF!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4.25" customHeight="1">
      <c r="A14" s="6"/>
      <c r="B14" s="8"/>
      <c r="C14" s="12"/>
      <c r="D14" s="12"/>
      <c r="E14" s="12"/>
      <c r="F14" s="11"/>
      <c r="G14" s="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4.25" customHeight="1">
      <c r="A15" s="6"/>
      <c r="B15" s="8"/>
      <c r="C15" s="12"/>
      <c r="D15" s="15"/>
      <c r="E15" s="23"/>
      <c r="F15" s="11"/>
      <c r="G15" s="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idden="1">
      <c r="A16" s="6"/>
      <c r="B16" s="8"/>
      <c r="C16" s="12"/>
      <c r="D16" s="72" t="s">
        <v>50</v>
      </c>
      <c r="E16" s="11"/>
      <c r="F16" s="11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idden="1">
      <c r="A17" s="6"/>
      <c r="B17" s="8"/>
      <c r="C17" s="12"/>
      <c r="D17" s="75" t="s">
        <v>51</v>
      </c>
      <c r="E17" s="77" t="s">
        <v>52</v>
      </c>
      <c r="F17" s="79" t="s">
        <v>55</v>
      </c>
      <c r="G17" s="8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idden="1">
      <c r="A18" s="6"/>
      <c r="B18" s="8"/>
      <c r="C18" s="12"/>
      <c r="D18" s="81"/>
      <c r="E18" s="82"/>
      <c r="F18" s="83"/>
      <c r="G18" s="84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idden="1">
      <c r="A19" s="6"/>
      <c r="B19" s="8"/>
      <c r="C19" s="12"/>
      <c r="D19" s="81"/>
      <c r="E19" s="82"/>
      <c r="F19" s="83"/>
      <c r="G19" s="8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idden="1">
      <c r="A20" s="6"/>
      <c r="B20" s="8"/>
      <c r="C20" s="12"/>
      <c r="D20" s="85"/>
      <c r="E20" s="86"/>
      <c r="F20" s="87"/>
      <c r="G20" s="8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hidden="1" customHeight="1">
      <c r="A21" s="6"/>
      <c r="B21" s="8"/>
      <c r="C21" s="12"/>
      <c r="D21" s="91"/>
      <c r="E21" s="93"/>
      <c r="F21" s="87"/>
      <c r="G21" s="94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hidden="1" customHeight="1">
      <c r="A22" s="6"/>
      <c r="B22" s="8"/>
      <c r="C22" s="12"/>
      <c r="D22" s="91"/>
      <c r="E22" s="95"/>
      <c r="F22" s="83"/>
      <c r="G22" s="9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hidden="1" customHeight="1">
      <c r="A23" s="6"/>
      <c r="B23" s="8"/>
      <c r="C23" s="12"/>
      <c r="D23" s="91"/>
      <c r="E23" s="97"/>
      <c r="F23" s="83"/>
      <c r="G23" s="9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hidden="1" customHeight="1">
      <c r="A24" s="6"/>
      <c r="B24" s="8"/>
      <c r="C24" s="12"/>
      <c r="D24" s="91"/>
      <c r="E24" s="97"/>
      <c r="F24" s="83"/>
      <c r="G24" s="9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hidden="1" customHeight="1">
      <c r="A25" s="6"/>
      <c r="B25" s="8"/>
      <c r="C25" s="12"/>
      <c r="D25" s="72"/>
      <c r="E25" s="11"/>
      <c r="F25" s="11"/>
      <c r="G25" s="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4.25" customHeight="1">
      <c r="A26" s="6"/>
      <c r="B26" s="14"/>
      <c r="C26" s="6"/>
      <c r="D26" s="9"/>
      <c r="E26" s="12"/>
      <c r="F26" s="12"/>
      <c r="G26" s="10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21.0" customHeight="1">
      <c r="A27" s="54" t="s">
        <v>87</v>
      </c>
      <c r="B27" s="57" t="s">
        <v>39</v>
      </c>
      <c r="C27" s="56"/>
      <c r="D27" s="57" t="s">
        <v>41</v>
      </c>
      <c r="E27" s="57" t="s">
        <v>42</v>
      </c>
      <c r="F27" s="57" t="s">
        <v>43</v>
      </c>
      <c r="G27" s="58" t="s">
        <v>44</v>
      </c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ht="14.25" customHeight="1">
      <c r="A28" s="6"/>
      <c r="B28" s="8"/>
      <c r="C28" s="6"/>
      <c r="D28" s="9"/>
      <c r="E28" s="106"/>
      <c r="F28" s="107"/>
      <c r="G28" s="10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4.25" customHeight="1">
      <c r="A29" s="6"/>
      <c r="B29" s="110"/>
      <c r="C29" s="6"/>
      <c r="D29" s="111" t="s">
        <v>88</v>
      </c>
      <c r="E29" s="112"/>
      <c r="F29" s="64"/>
      <c r="G29" s="11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4.25" customHeight="1">
      <c r="A30" s="6"/>
      <c r="B30" s="114"/>
      <c r="C30" s="6"/>
      <c r="D30" s="115" t="s">
        <v>89</v>
      </c>
      <c r="E30" s="116" t="s">
        <v>90</v>
      </c>
      <c r="F30" s="73" t="str">
        <f>'LOGIN TO ECMS'!F19</f>
        <v>Pass</v>
      </c>
      <c r="G30" s="7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27.0" customHeight="1">
      <c r="A31" s="6"/>
      <c r="B31" s="114"/>
      <c r="C31" s="11"/>
      <c r="D31" s="117" t="s">
        <v>91</v>
      </c>
      <c r="E31" s="118" t="s">
        <v>92</v>
      </c>
      <c r="F31" s="73" t="str">
        <f>'LOGIN TO ECMS'!F20</f>
        <v>Pass</v>
      </c>
      <c r="G31" s="7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48"/>
      <c r="B32" s="114"/>
      <c r="D32" s="119" t="s">
        <v>86</v>
      </c>
      <c r="E32" s="120"/>
      <c r="F32" s="73" t="str">
        <f>'LOGIN TO ECMS'!F21</f>
        <v/>
      </c>
      <c r="G32" s="10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121"/>
      <c r="B33" s="114"/>
      <c r="D33" s="6"/>
      <c r="E33" s="122"/>
      <c r="F33" s="73" t="str">
        <f>'LOGIN TO ECMS'!F22</f>
        <v/>
      </c>
      <c r="G33" s="123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121"/>
      <c r="B34" s="114"/>
      <c r="C34" s="8"/>
      <c r="D34" s="111" t="s">
        <v>93</v>
      </c>
      <c r="E34" s="124"/>
      <c r="F34" s="73" t="str">
        <f>'LOGIN TO ECMS'!F23</f>
        <v/>
      </c>
      <c r="G34" s="113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121"/>
      <c r="B35" s="114"/>
      <c r="C35" s="11"/>
      <c r="D35" s="117" t="s">
        <v>94</v>
      </c>
      <c r="E35" s="125" t="s">
        <v>95</v>
      </c>
      <c r="F35" s="73" t="str">
        <f>'LOGIN TO ECMS'!F24</f>
        <v>Pass</v>
      </c>
      <c r="G35" s="12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4.25" customHeight="1">
      <c r="A36" s="6"/>
      <c r="B36" s="114"/>
      <c r="D36" s="117" t="s">
        <v>96</v>
      </c>
      <c r="E36" s="125" t="s">
        <v>97</v>
      </c>
      <c r="F36" s="73" t="str">
        <f>'LOGIN TO ECMS'!F25</f>
        <v>Pass</v>
      </c>
      <c r="G36" s="12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48"/>
      <c r="B37" s="114"/>
      <c r="D37" s="117" t="s">
        <v>98</v>
      </c>
      <c r="E37" s="125" t="s">
        <v>99</v>
      </c>
      <c r="F37" s="73" t="str">
        <f>'LOGIN TO ECMS'!F26</f>
        <v>Pass</v>
      </c>
      <c r="G37" s="12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121"/>
      <c r="B38" s="114"/>
      <c r="D38" s="117" t="s">
        <v>100</v>
      </c>
      <c r="E38" s="125" t="s">
        <v>101</v>
      </c>
      <c r="F38" s="73" t="str">
        <f>'LOGIN TO ECMS'!F27</f>
        <v>Pass</v>
      </c>
      <c r="G38" s="12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8.75" customHeight="1">
      <c r="A39" s="121"/>
      <c r="B39" s="114"/>
      <c r="D39" s="117" t="s">
        <v>91</v>
      </c>
      <c r="E39" s="125" t="s">
        <v>102</v>
      </c>
      <c r="F39" s="73" t="str">
        <f>'LOGIN TO ECMS'!F28</f>
        <v>Pass</v>
      </c>
      <c r="G39" s="12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4.25" customHeight="1">
      <c r="A40" s="6"/>
      <c r="B40" s="114"/>
      <c r="D40" s="119" t="s">
        <v>86</v>
      </c>
      <c r="E40" s="120"/>
      <c r="F40" s="73" t="str">
        <f>'LOGIN TO ECMS'!F29</f>
        <v/>
      </c>
      <c r="G40" s="102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4.25" customHeight="1">
      <c r="A41" s="6"/>
      <c r="B41" s="114"/>
      <c r="D41" s="127"/>
      <c r="E41" s="128"/>
      <c r="F41" s="100"/>
      <c r="G41" s="10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8.0" customHeight="1">
      <c r="A42" s="48"/>
      <c r="B42" s="114"/>
      <c r="C42" s="8"/>
      <c r="D42" s="111" t="s">
        <v>103</v>
      </c>
      <c r="E42" s="129"/>
      <c r="F42" s="130"/>
      <c r="G42" s="13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121"/>
      <c r="B43" s="114"/>
      <c r="C43" s="11"/>
      <c r="D43" s="117" t="s">
        <v>94</v>
      </c>
      <c r="E43" s="132" t="s">
        <v>95</v>
      </c>
      <c r="F43" s="133" t="str">
        <f>'LOGIN TO ECMS'!F32</f>
        <v>Pass</v>
      </c>
      <c r="G43" s="134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121"/>
      <c r="B44" s="114"/>
      <c r="D44" s="117" t="s">
        <v>96</v>
      </c>
      <c r="E44" s="132" t="s">
        <v>97</v>
      </c>
      <c r="F44" s="133"/>
      <c r="G44" s="134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4.25" customHeight="1">
      <c r="A45" s="6"/>
      <c r="B45" s="114"/>
      <c r="D45" s="117" t="s">
        <v>98</v>
      </c>
      <c r="E45" s="132" t="s">
        <v>99</v>
      </c>
      <c r="F45" s="133"/>
      <c r="G45" s="13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9.5" customHeight="1">
      <c r="A46" s="11">
        <v>1.0</v>
      </c>
      <c r="B46" s="114"/>
      <c r="D46" s="117" t="s">
        <v>100</v>
      </c>
      <c r="E46" s="132" t="s">
        <v>101</v>
      </c>
      <c r="F46" s="133"/>
      <c r="G46" s="134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B47" s="114" t="s">
        <v>104</v>
      </c>
      <c r="D47" s="117" t="s">
        <v>91</v>
      </c>
      <c r="E47" s="132" t="s">
        <v>105</v>
      </c>
      <c r="F47" s="133"/>
      <c r="G47" s="134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B48" s="114"/>
      <c r="D48" s="119" t="s">
        <v>86</v>
      </c>
      <c r="E48" s="136"/>
      <c r="F48" s="101"/>
      <c r="G48" s="13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21.0" customHeight="1">
      <c r="B49" s="114"/>
      <c r="D49" s="127"/>
      <c r="E49" s="128"/>
      <c r="F49" s="100"/>
      <c r="G49" s="10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24.0" customHeight="1">
      <c r="B50" s="114"/>
      <c r="C50" s="8"/>
      <c r="D50" s="111" t="s">
        <v>106</v>
      </c>
      <c r="E50" s="129"/>
      <c r="F50" s="138"/>
      <c r="G50" s="13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4.25" customHeight="1">
      <c r="A51" s="6"/>
      <c r="B51" s="114"/>
      <c r="C51" s="11"/>
      <c r="D51" s="117" t="s">
        <v>94</v>
      </c>
      <c r="E51" s="132" t="s">
        <v>95</v>
      </c>
      <c r="F51" s="139"/>
      <c r="G51" s="134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4.25" customHeight="1">
      <c r="A52" s="11"/>
      <c r="B52" s="114"/>
      <c r="D52" s="117" t="s">
        <v>96</v>
      </c>
      <c r="E52" s="132" t="s">
        <v>97</v>
      </c>
      <c r="F52" s="140"/>
      <c r="G52" s="134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45.75" customHeight="1">
      <c r="A53" s="11"/>
      <c r="B53" s="114"/>
      <c r="D53" s="117" t="s">
        <v>98</v>
      </c>
      <c r="E53" s="132" t="s">
        <v>99</v>
      </c>
      <c r="F53" s="140"/>
      <c r="G53" s="134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9.5" customHeight="1">
      <c r="A54" s="11"/>
      <c r="B54" s="114"/>
      <c r="D54" s="117" t="s">
        <v>100</v>
      </c>
      <c r="E54" s="132" t="s">
        <v>101</v>
      </c>
      <c r="F54" s="140"/>
      <c r="G54" s="13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11"/>
      <c r="B55" s="114"/>
      <c r="D55" s="117" t="s">
        <v>91</v>
      </c>
      <c r="E55" s="132" t="s">
        <v>105</v>
      </c>
      <c r="F55" s="140"/>
      <c r="G55" s="134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11"/>
      <c r="B56" s="114"/>
      <c r="D56" s="119" t="s">
        <v>86</v>
      </c>
      <c r="E56" s="136"/>
      <c r="F56" s="142"/>
      <c r="G56" s="13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11"/>
      <c r="B57" s="114"/>
      <c r="D57" s="127"/>
      <c r="E57" s="128"/>
      <c r="F57" s="100"/>
      <c r="G57" s="10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11"/>
      <c r="B58" s="114"/>
      <c r="C58" s="11"/>
      <c r="D58" s="111" t="s">
        <v>109</v>
      </c>
      <c r="E58" s="129"/>
      <c r="F58" s="138"/>
      <c r="G58" s="13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11"/>
      <c r="B59" s="114"/>
      <c r="C59" s="11"/>
      <c r="D59" s="117" t="s">
        <v>94</v>
      </c>
      <c r="E59" s="132" t="s">
        <v>95</v>
      </c>
      <c r="F59" s="139"/>
      <c r="G59" s="134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4.25" customHeight="1">
      <c r="A60" s="11"/>
      <c r="B60" s="114"/>
      <c r="C60" s="11"/>
      <c r="D60" s="117" t="s">
        <v>96</v>
      </c>
      <c r="E60" s="132" t="s">
        <v>97</v>
      </c>
      <c r="F60" s="140"/>
      <c r="G60" s="134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4.25" customHeight="1">
      <c r="A61" s="11"/>
      <c r="B61" s="114"/>
      <c r="C61" s="11"/>
      <c r="D61" s="117" t="s">
        <v>98</v>
      </c>
      <c r="E61" s="132" t="s">
        <v>99</v>
      </c>
      <c r="F61" s="140"/>
      <c r="G61" s="134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4.25" customHeight="1">
      <c r="A62" s="11"/>
      <c r="B62" s="114"/>
      <c r="C62" s="11"/>
      <c r="D62" s="117" t="s">
        <v>100</v>
      </c>
      <c r="E62" s="132" t="s">
        <v>101</v>
      </c>
      <c r="F62" s="140"/>
      <c r="G62" s="134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4.25" customHeight="1">
      <c r="A63" s="11"/>
      <c r="B63" s="114"/>
      <c r="C63" s="11"/>
      <c r="D63" s="117" t="s">
        <v>91</v>
      </c>
      <c r="E63" s="132" t="s">
        <v>105</v>
      </c>
      <c r="F63" s="140"/>
      <c r="G63" s="134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4.25" customHeight="1">
      <c r="A64" s="11"/>
      <c r="B64" s="114"/>
      <c r="C64" s="11"/>
      <c r="D64" s="119" t="s">
        <v>86</v>
      </c>
      <c r="E64" s="136"/>
      <c r="F64" s="142"/>
      <c r="G64" s="13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4.25" customHeight="1">
      <c r="A65" s="11"/>
      <c r="B65" s="114"/>
      <c r="C65" s="11"/>
      <c r="D65" s="127"/>
      <c r="E65" s="128"/>
      <c r="F65" s="100"/>
      <c r="G65" s="10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8.0" customHeight="1">
      <c r="A66" s="11"/>
      <c r="B66" s="114"/>
      <c r="C66" s="11"/>
      <c r="D66" s="127"/>
      <c r="E66" s="128"/>
      <c r="G66" s="10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11"/>
      <c r="B67" s="114"/>
      <c r="C67" s="6"/>
      <c r="D67" s="61" t="s">
        <v>111</v>
      </c>
      <c r="E67" s="153"/>
      <c r="F67" s="138"/>
      <c r="G67" s="154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11"/>
      <c r="B68" s="114"/>
      <c r="C68" s="8"/>
      <c r="D68" s="117" t="s">
        <v>94</v>
      </c>
      <c r="E68" s="125" t="s">
        <v>95</v>
      </c>
      <c r="F68" s="12"/>
      <c r="G68" s="15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4.25" customHeight="1">
      <c r="A69" s="11"/>
      <c r="B69" s="114"/>
      <c r="C69" s="8"/>
      <c r="D69" s="117" t="s">
        <v>96</v>
      </c>
      <c r="E69" s="125" t="s">
        <v>97</v>
      </c>
      <c r="F69" s="140"/>
      <c r="G69" s="15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4.25" customHeight="1">
      <c r="A70" s="11"/>
      <c r="B70" s="114"/>
      <c r="C70" s="8"/>
      <c r="D70" s="117" t="s">
        <v>98</v>
      </c>
      <c r="E70" s="125" t="s">
        <v>99</v>
      </c>
      <c r="F70" s="140"/>
      <c r="G70" s="15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4.25" customHeight="1">
      <c r="A71" s="11"/>
      <c r="B71" s="114"/>
      <c r="C71" s="8"/>
      <c r="D71" s="117" t="s">
        <v>100</v>
      </c>
      <c r="E71" s="125" t="s">
        <v>101</v>
      </c>
      <c r="F71" s="140"/>
      <c r="G71" s="15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4.25" customHeight="1">
      <c r="A72" s="11"/>
      <c r="B72" s="114"/>
      <c r="C72" s="8"/>
      <c r="D72" s="117" t="s">
        <v>112</v>
      </c>
      <c r="E72" s="125" t="s">
        <v>113</v>
      </c>
      <c r="F72" s="140"/>
      <c r="G72" s="15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4.25" customHeight="1">
      <c r="A73" s="11"/>
      <c r="B73" s="158"/>
      <c r="C73" s="8"/>
      <c r="D73" s="119" t="s">
        <v>86</v>
      </c>
      <c r="E73" s="120"/>
      <c r="F73" s="142"/>
      <c r="G73" s="16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4.25" customHeight="1">
      <c r="A74" s="11"/>
      <c r="B74" s="11"/>
      <c r="C74" s="8"/>
      <c r="D74" s="161"/>
      <c r="E74" s="100"/>
      <c r="F74" s="6"/>
      <c r="G74" s="162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4.25" customHeight="1">
      <c r="A75" s="11"/>
      <c r="B75" s="110"/>
      <c r="C75" s="8"/>
      <c r="D75" s="111" t="s">
        <v>88</v>
      </c>
      <c r="E75" s="112"/>
      <c r="F75" s="64"/>
      <c r="G75" s="113"/>
      <c r="H75" s="161"/>
      <c r="I75" s="100"/>
      <c r="J75" s="6"/>
      <c r="K75" s="162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4.25" customHeight="1">
      <c r="A76" s="11"/>
      <c r="B76" s="114"/>
      <c r="C76" s="8"/>
      <c r="D76" s="115" t="s">
        <v>89</v>
      </c>
      <c r="E76" s="116" t="s">
        <v>114</v>
      </c>
      <c r="F76" s="73"/>
      <c r="G76" s="76"/>
      <c r="H76" s="161"/>
      <c r="I76" s="100"/>
      <c r="J76" s="6"/>
      <c r="K76" s="162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4.25" customHeight="1">
      <c r="A77" s="11"/>
      <c r="B77" s="114"/>
      <c r="C77" s="8"/>
      <c r="D77" s="117" t="s">
        <v>91</v>
      </c>
      <c r="E77" s="118" t="s">
        <v>92</v>
      </c>
      <c r="F77" s="73"/>
      <c r="G77" s="76"/>
      <c r="H77" s="161"/>
      <c r="I77" s="100"/>
      <c r="J77" s="6"/>
      <c r="K77" s="162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4.25" customHeight="1">
      <c r="A78" s="11"/>
      <c r="B78" s="114"/>
      <c r="C78" s="8"/>
      <c r="D78" s="119" t="s">
        <v>86</v>
      </c>
      <c r="E78" s="120"/>
      <c r="F78" s="156"/>
      <c r="G78" s="102"/>
      <c r="H78" s="161"/>
      <c r="I78" s="100"/>
      <c r="J78" s="6"/>
      <c r="K78" s="162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4.25" customHeight="1">
      <c r="A79" s="11"/>
      <c r="B79" s="114"/>
      <c r="C79" s="8"/>
      <c r="D79" s="6"/>
      <c r="E79" s="122"/>
      <c r="F79" s="123"/>
      <c r="G79" s="123"/>
      <c r="H79" s="161"/>
      <c r="I79" s="100"/>
      <c r="J79" s="6"/>
      <c r="K79" s="162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4.25" customHeight="1">
      <c r="A80" s="11"/>
      <c r="B80" s="114"/>
      <c r="C80" s="8"/>
      <c r="D80" s="111" t="s">
        <v>93</v>
      </c>
      <c r="E80" s="124"/>
      <c r="F80" s="157"/>
      <c r="G80" s="113"/>
      <c r="H80" s="161"/>
      <c r="I80" s="100"/>
      <c r="J80" s="6"/>
      <c r="K80" s="162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4.25" customHeight="1">
      <c r="A81" s="11"/>
      <c r="B81" s="114"/>
      <c r="C81" s="8"/>
      <c r="D81" s="117" t="s">
        <v>94</v>
      </c>
      <c r="E81" s="125" t="s">
        <v>95</v>
      </c>
      <c r="F81" s="125"/>
      <c r="G81" s="126"/>
      <c r="H81" s="161"/>
      <c r="I81" s="100"/>
      <c r="J81" s="6"/>
      <c r="K81" s="162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4.25" customHeight="1">
      <c r="A82" s="11"/>
      <c r="B82" s="114"/>
      <c r="C82" s="8"/>
      <c r="D82" s="117" t="s">
        <v>96</v>
      </c>
      <c r="E82" s="125" t="s">
        <v>97</v>
      </c>
      <c r="F82" s="125"/>
      <c r="G82" s="126"/>
      <c r="H82" s="161"/>
      <c r="I82" s="100"/>
      <c r="J82" s="6"/>
      <c r="K82" s="162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4.25" customHeight="1">
      <c r="A83" s="11"/>
      <c r="B83" s="114"/>
      <c r="C83" s="8"/>
      <c r="D83" s="117" t="s">
        <v>98</v>
      </c>
      <c r="E83" s="125" t="s">
        <v>99</v>
      </c>
      <c r="F83" s="125"/>
      <c r="G83" s="126"/>
      <c r="H83" s="161"/>
      <c r="I83" s="100"/>
      <c r="J83" s="6"/>
      <c r="K83" s="162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4.25" customHeight="1">
      <c r="A84" s="11"/>
      <c r="B84" s="114"/>
      <c r="C84" s="8"/>
      <c r="D84" s="117" t="s">
        <v>100</v>
      </c>
      <c r="E84" s="125" t="s">
        <v>101</v>
      </c>
      <c r="F84" s="125"/>
      <c r="G84" s="126"/>
      <c r="H84" s="161"/>
      <c r="I84" s="100"/>
      <c r="J84" s="6"/>
      <c r="K84" s="162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4.25" customHeight="1">
      <c r="A85" s="11"/>
      <c r="B85" s="114"/>
      <c r="C85" s="8"/>
      <c r="D85" s="117" t="s">
        <v>91</v>
      </c>
      <c r="E85" s="125" t="s">
        <v>102</v>
      </c>
      <c r="F85" s="125"/>
      <c r="G85" s="126"/>
      <c r="H85" s="161"/>
      <c r="I85" s="100"/>
      <c r="J85" s="6"/>
      <c r="K85" s="162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4.25" customHeight="1">
      <c r="A86" s="11"/>
      <c r="B86" s="114"/>
      <c r="C86" s="8"/>
      <c r="D86" s="119" t="s">
        <v>86</v>
      </c>
      <c r="E86" s="120"/>
      <c r="F86" s="163"/>
      <c r="G86" s="102"/>
      <c r="H86" s="161"/>
      <c r="I86" s="100"/>
      <c r="J86" s="6"/>
      <c r="K86" s="162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4.25" customHeight="1">
      <c r="A87" s="11"/>
      <c r="B87" s="114"/>
      <c r="C87" s="8"/>
      <c r="D87" s="127"/>
      <c r="E87" s="128"/>
      <c r="F87" s="100"/>
      <c r="G87" s="100"/>
      <c r="H87" s="161"/>
      <c r="I87" s="100"/>
      <c r="J87" s="6"/>
      <c r="K87" s="162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4.25" customHeight="1">
      <c r="A88" s="11"/>
      <c r="B88" s="114"/>
      <c r="C88" s="8"/>
      <c r="D88" s="111" t="s">
        <v>103</v>
      </c>
      <c r="E88" s="129"/>
      <c r="F88" s="130"/>
      <c r="G88" s="131"/>
      <c r="H88" s="161"/>
      <c r="I88" s="100"/>
      <c r="J88" s="6"/>
      <c r="K88" s="162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4.25" customHeight="1">
      <c r="A89" s="11"/>
      <c r="B89" s="114"/>
      <c r="C89" s="8"/>
      <c r="D89" s="117" t="s">
        <v>94</v>
      </c>
      <c r="E89" s="132" t="s">
        <v>95</v>
      </c>
      <c r="F89" s="133"/>
      <c r="G89" s="134"/>
      <c r="H89" s="161"/>
      <c r="I89" s="100"/>
      <c r="J89" s="6"/>
      <c r="K89" s="162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4.25" customHeight="1">
      <c r="A90" s="11"/>
      <c r="B90" s="114"/>
      <c r="C90" s="8"/>
      <c r="D90" s="117" t="s">
        <v>96</v>
      </c>
      <c r="E90" s="132" t="s">
        <v>97</v>
      </c>
      <c r="F90" s="133"/>
      <c r="G90" s="134"/>
      <c r="H90" s="161"/>
      <c r="I90" s="100"/>
      <c r="J90" s="6"/>
      <c r="K90" s="162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4.25" customHeight="1">
      <c r="A91" s="11"/>
      <c r="B91" s="114"/>
      <c r="C91" s="8"/>
      <c r="D91" s="117" t="s">
        <v>98</v>
      </c>
      <c r="E91" s="132" t="s">
        <v>99</v>
      </c>
      <c r="F91" s="133"/>
      <c r="G91" s="135"/>
      <c r="H91" s="161"/>
      <c r="I91" s="100"/>
      <c r="J91" s="6"/>
      <c r="K91" s="162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4.25" customHeight="1">
      <c r="A92" s="11"/>
      <c r="B92" s="114"/>
      <c r="C92" s="8"/>
      <c r="D92" s="117" t="s">
        <v>100</v>
      </c>
      <c r="E92" s="132" t="s">
        <v>101</v>
      </c>
      <c r="F92" s="133"/>
      <c r="G92" s="134"/>
      <c r="H92" s="161"/>
      <c r="I92" s="100"/>
      <c r="J92" s="6"/>
      <c r="K92" s="162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4.25" customHeight="1">
      <c r="A93" s="11"/>
      <c r="B93" s="114"/>
      <c r="C93" s="8"/>
      <c r="D93" s="117" t="s">
        <v>91</v>
      </c>
      <c r="E93" s="132" t="s">
        <v>105</v>
      </c>
      <c r="F93" s="133"/>
      <c r="G93" s="134"/>
      <c r="H93" s="161"/>
      <c r="I93" s="100"/>
      <c r="J93" s="6"/>
      <c r="K93" s="162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4.25" customHeight="1">
      <c r="A94" s="11"/>
      <c r="B94" s="114"/>
      <c r="C94" s="8"/>
      <c r="D94" s="119" t="s">
        <v>86</v>
      </c>
      <c r="E94" s="136"/>
      <c r="F94" s="101"/>
      <c r="G94" s="137"/>
      <c r="H94" s="161"/>
      <c r="I94" s="100"/>
      <c r="J94" s="6"/>
      <c r="K94" s="162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4.25" customHeight="1">
      <c r="A95" s="11"/>
      <c r="B95" s="114"/>
      <c r="C95" s="8"/>
      <c r="D95" s="127"/>
      <c r="E95" s="128"/>
      <c r="F95" s="100"/>
      <c r="G95" s="100"/>
      <c r="H95" s="161"/>
      <c r="I95" s="100"/>
      <c r="J95" s="6"/>
      <c r="K95" s="162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4.25" customHeight="1">
      <c r="A96" s="11"/>
      <c r="B96" s="114"/>
      <c r="C96" s="8"/>
      <c r="D96" s="111" t="s">
        <v>106</v>
      </c>
      <c r="E96" s="129"/>
      <c r="F96" s="138"/>
      <c r="G96" s="131"/>
      <c r="H96" s="161"/>
      <c r="I96" s="100"/>
      <c r="J96" s="6"/>
      <c r="K96" s="162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4.25" customHeight="1">
      <c r="A97" s="11"/>
      <c r="B97" s="114"/>
      <c r="C97" s="8"/>
      <c r="D97" s="117" t="s">
        <v>94</v>
      </c>
      <c r="E97" s="132" t="s">
        <v>95</v>
      </c>
      <c r="F97" s="139"/>
      <c r="G97" s="134"/>
      <c r="H97" s="161"/>
      <c r="I97" s="100"/>
      <c r="J97" s="6"/>
      <c r="K97" s="162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4.25" customHeight="1">
      <c r="A98" s="11"/>
      <c r="B98" s="114"/>
      <c r="C98" s="8"/>
      <c r="D98" s="117" t="s">
        <v>96</v>
      </c>
      <c r="E98" s="132" t="s">
        <v>97</v>
      </c>
      <c r="F98" s="140"/>
      <c r="G98" s="134"/>
      <c r="H98" s="161"/>
      <c r="I98" s="100"/>
      <c r="J98" s="6"/>
      <c r="K98" s="162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4.25" customHeight="1">
      <c r="A99" s="11"/>
      <c r="B99" s="114" t="s">
        <v>140</v>
      </c>
      <c r="C99" s="8"/>
      <c r="D99" s="117" t="s">
        <v>98</v>
      </c>
      <c r="E99" s="132" t="s">
        <v>99</v>
      </c>
      <c r="F99" s="140"/>
      <c r="G99" s="134"/>
      <c r="H99" s="161"/>
      <c r="I99" s="100"/>
      <c r="J99" s="6"/>
      <c r="K99" s="162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4.25" customHeight="1">
      <c r="A100" s="11"/>
      <c r="B100" s="114"/>
      <c r="C100" s="8"/>
      <c r="D100" s="117" t="s">
        <v>100</v>
      </c>
      <c r="E100" s="132" t="s">
        <v>101</v>
      </c>
      <c r="F100" s="140"/>
      <c r="G100" s="134"/>
      <c r="H100" s="161"/>
      <c r="I100" s="100"/>
      <c r="J100" s="6"/>
      <c r="K100" s="162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4.25" customHeight="1">
      <c r="A101" s="11"/>
      <c r="B101" s="114"/>
      <c r="C101" s="8"/>
      <c r="D101" s="117" t="s">
        <v>91</v>
      </c>
      <c r="E101" s="132" t="s">
        <v>105</v>
      </c>
      <c r="F101" s="140"/>
      <c r="G101" s="134"/>
      <c r="H101" s="161"/>
      <c r="I101" s="100"/>
      <c r="J101" s="6"/>
      <c r="K101" s="162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4.25" customHeight="1">
      <c r="A102" s="11"/>
      <c r="B102" s="114"/>
      <c r="C102" s="8"/>
      <c r="D102" s="119" t="s">
        <v>86</v>
      </c>
      <c r="E102" s="136"/>
      <c r="F102" s="142"/>
      <c r="G102" s="137"/>
      <c r="H102" s="161"/>
      <c r="I102" s="100"/>
      <c r="J102" s="6"/>
      <c r="K102" s="162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4.25" customHeight="1">
      <c r="A103" s="11"/>
      <c r="B103" s="114"/>
      <c r="C103" s="8"/>
      <c r="D103" s="127"/>
      <c r="E103" s="128"/>
      <c r="F103" s="100"/>
      <c r="G103" s="100"/>
      <c r="H103" s="161"/>
      <c r="I103" s="100"/>
      <c r="J103" s="6"/>
      <c r="K103" s="162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4.25" customHeight="1">
      <c r="A104" s="11"/>
      <c r="B104" s="114"/>
      <c r="C104" s="8"/>
      <c r="D104" s="111" t="s">
        <v>109</v>
      </c>
      <c r="E104" s="129"/>
      <c r="F104" s="138"/>
      <c r="G104" s="131"/>
      <c r="H104" s="161"/>
      <c r="I104" s="100"/>
      <c r="J104" s="6"/>
      <c r="K104" s="162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4.25" customHeight="1">
      <c r="A105" s="11"/>
      <c r="B105" s="114"/>
      <c r="C105" s="8"/>
      <c r="D105" s="117" t="s">
        <v>94</v>
      </c>
      <c r="E105" s="132" t="s">
        <v>95</v>
      </c>
      <c r="F105" s="139"/>
      <c r="G105" s="134"/>
      <c r="H105" s="161"/>
      <c r="I105" s="100"/>
      <c r="J105" s="6"/>
      <c r="K105" s="162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4.25" customHeight="1">
      <c r="A106" s="11"/>
      <c r="B106" s="114"/>
      <c r="C106" s="8"/>
      <c r="D106" s="117" t="s">
        <v>96</v>
      </c>
      <c r="E106" s="132" t="s">
        <v>97</v>
      </c>
      <c r="F106" s="140"/>
      <c r="G106" s="134"/>
      <c r="H106" s="161"/>
      <c r="I106" s="100"/>
      <c r="J106" s="6"/>
      <c r="K106" s="162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4.25" customHeight="1">
      <c r="A107" s="11"/>
      <c r="B107" s="114"/>
      <c r="C107" s="8"/>
      <c r="D107" s="117" t="s">
        <v>98</v>
      </c>
      <c r="E107" s="132" t="s">
        <v>99</v>
      </c>
      <c r="F107" s="140"/>
      <c r="G107" s="134"/>
      <c r="H107" s="161"/>
      <c r="I107" s="100"/>
      <c r="J107" s="6"/>
      <c r="K107" s="162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4.25" customHeight="1">
      <c r="A108" s="11"/>
      <c r="B108" s="114"/>
      <c r="C108" s="8"/>
      <c r="D108" s="117" t="s">
        <v>100</v>
      </c>
      <c r="E108" s="132" t="s">
        <v>101</v>
      </c>
      <c r="F108" s="140"/>
      <c r="G108" s="134"/>
      <c r="H108" s="161"/>
      <c r="I108" s="100"/>
      <c r="J108" s="6"/>
      <c r="K108" s="162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4.25" customHeight="1">
      <c r="A109" s="11"/>
      <c r="B109" s="114"/>
      <c r="C109" s="8"/>
      <c r="D109" s="117" t="s">
        <v>91</v>
      </c>
      <c r="E109" s="132" t="s">
        <v>105</v>
      </c>
      <c r="F109" s="140"/>
      <c r="G109" s="134"/>
      <c r="H109" s="161"/>
      <c r="I109" s="100"/>
      <c r="J109" s="6"/>
      <c r="K109" s="162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4.25" customHeight="1">
      <c r="A110" s="11"/>
      <c r="B110" s="114"/>
      <c r="C110" s="8"/>
      <c r="D110" s="119" t="s">
        <v>86</v>
      </c>
      <c r="E110" s="136"/>
      <c r="F110" s="142"/>
      <c r="G110" s="137"/>
      <c r="H110" s="161"/>
      <c r="I110" s="100"/>
      <c r="J110" s="6"/>
      <c r="K110" s="162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4.25" customHeight="1">
      <c r="A111" s="11"/>
      <c r="B111" s="114"/>
      <c r="C111" s="8"/>
      <c r="D111" s="127"/>
      <c r="E111" s="128"/>
      <c r="F111" s="100"/>
      <c r="G111" s="100"/>
      <c r="H111" s="161"/>
      <c r="I111" s="100"/>
      <c r="J111" s="6"/>
      <c r="K111" s="162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4.25" customHeight="1">
      <c r="A112" s="11"/>
      <c r="B112" s="114"/>
      <c r="C112" s="8"/>
      <c r="D112" s="127"/>
      <c r="E112" s="128"/>
      <c r="G112" s="100"/>
      <c r="H112" s="161"/>
      <c r="I112" s="100"/>
      <c r="J112" s="6"/>
      <c r="K112" s="162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4.25" customHeight="1">
      <c r="A113" s="11"/>
      <c r="B113" s="114"/>
      <c r="C113" s="8"/>
      <c r="D113" s="61" t="s">
        <v>111</v>
      </c>
      <c r="E113" s="153"/>
      <c r="F113" s="138"/>
      <c r="G113" s="154"/>
      <c r="H113" s="161"/>
      <c r="I113" s="100"/>
      <c r="J113" s="6"/>
      <c r="K113" s="162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4.25" customHeight="1">
      <c r="A114" s="11"/>
      <c r="B114" s="114"/>
      <c r="C114" s="8"/>
      <c r="D114" s="117" t="s">
        <v>94</v>
      </c>
      <c r="E114" s="125" t="s">
        <v>95</v>
      </c>
      <c r="F114" s="12"/>
      <c r="G114" s="155"/>
      <c r="H114" s="161"/>
      <c r="I114" s="100"/>
      <c r="J114" s="6"/>
      <c r="K114" s="162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4.25" customHeight="1">
      <c r="A115" s="11"/>
      <c r="B115" s="114"/>
      <c r="C115" s="8"/>
      <c r="D115" s="117" t="s">
        <v>96</v>
      </c>
      <c r="E115" s="125" t="s">
        <v>97</v>
      </c>
      <c r="F115" s="140"/>
      <c r="G115" s="155"/>
      <c r="H115" s="161"/>
      <c r="I115" s="100"/>
      <c r="J115" s="6"/>
      <c r="K115" s="162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4.25" customHeight="1">
      <c r="A116" s="11"/>
      <c r="B116" s="114"/>
      <c r="C116" s="8"/>
      <c r="D116" s="117" t="s">
        <v>98</v>
      </c>
      <c r="E116" s="125" t="s">
        <v>99</v>
      </c>
      <c r="F116" s="140"/>
      <c r="G116" s="155"/>
      <c r="H116" s="161"/>
      <c r="I116" s="100"/>
      <c r="J116" s="6"/>
      <c r="K116" s="162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4.25" customHeight="1">
      <c r="A117" s="11"/>
      <c r="B117" s="114"/>
      <c r="C117" s="8"/>
      <c r="D117" s="117" t="s">
        <v>100</v>
      </c>
      <c r="E117" s="125" t="s">
        <v>101</v>
      </c>
      <c r="F117" s="140"/>
      <c r="G117" s="155"/>
      <c r="H117" s="161"/>
      <c r="I117" s="100"/>
      <c r="J117" s="6"/>
      <c r="K117" s="162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4.25" customHeight="1">
      <c r="A118" s="11"/>
      <c r="B118" s="114"/>
      <c r="C118" s="8"/>
      <c r="D118" s="117" t="s">
        <v>112</v>
      </c>
      <c r="E118" s="125" t="s">
        <v>113</v>
      </c>
      <c r="F118" s="140"/>
      <c r="G118" s="155"/>
      <c r="H118" s="161"/>
      <c r="I118" s="100"/>
      <c r="J118" s="6"/>
      <c r="K118" s="162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4.25" customHeight="1">
      <c r="A119" s="11"/>
      <c r="B119" s="114"/>
      <c r="C119" s="8"/>
      <c r="D119" s="119" t="s">
        <v>86</v>
      </c>
      <c r="E119" s="120"/>
      <c r="F119" s="142"/>
      <c r="G119" s="160"/>
      <c r="H119" s="161"/>
      <c r="I119" s="100"/>
      <c r="J119" s="6"/>
      <c r="K119" s="162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4.25" customHeight="1">
      <c r="A120" s="11"/>
      <c r="B120" s="114"/>
      <c r="C120" s="8"/>
      <c r="D120" s="161"/>
      <c r="E120" s="100"/>
      <c r="F120" s="6"/>
      <c r="G120" s="162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4.25" customHeight="1">
      <c r="A121" s="11"/>
      <c r="B121" s="114"/>
      <c r="C121" s="8"/>
      <c r="D121" s="111" t="s">
        <v>155</v>
      </c>
      <c r="E121" s="189"/>
      <c r="F121" s="190"/>
      <c r="G121" s="191"/>
      <c r="H121" s="161"/>
      <c r="I121" s="100"/>
      <c r="J121" s="6"/>
      <c r="K121" s="162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4.25" customHeight="1">
      <c r="A122" s="11"/>
      <c r="B122" s="114"/>
      <c r="C122" s="8"/>
      <c r="D122" s="117" t="s">
        <v>156</v>
      </c>
      <c r="E122" s="192" t="s">
        <v>157</v>
      </c>
      <c r="F122" s="193"/>
      <c r="G122" s="194"/>
      <c r="H122" s="161"/>
      <c r="I122" s="100"/>
      <c r="J122" s="6"/>
      <c r="K122" s="162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4.25" customHeight="1">
      <c r="A123" s="11"/>
      <c r="B123" s="114"/>
      <c r="C123" s="8"/>
      <c r="D123" s="117" t="s">
        <v>158</v>
      </c>
      <c r="E123" s="192" t="s">
        <v>159</v>
      </c>
      <c r="F123" s="193"/>
      <c r="G123" s="195"/>
      <c r="H123" s="161"/>
      <c r="I123" s="100"/>
      <c r="J123" s="6"/>
      <c r="K123" s="162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4.25" customHeight="1">
      <c r="A124" s="11"/>
      <c r="B124" s="114"/>
      <c r="C124" s="8"/>
      <c r="D124" s="117" t="s">
        <v>98</v>
      </c>
      <c r="E124" s="192" t="s">
        <v>99</v>
      </c>
      <c r="F124" s="193"/>
      <c r="G124" s="195"/>
      <c r="H124" s="161"/>
      <c r="I124" s="100"/>
      <c r="J124" s="6"/>
      <c r="K124" s="162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4.25" customHeight="1">
      <c r="A125" s="11"/>
      <c r="B125" s="114"/>
      <c r="C125" s="8"/>
      <c r="D125" s="117" t="s">
        <v>100</v>
      </c>
      <c r="E125" s="192" t="s">
        <v>101</v>
      </c>
      <c r="F125" s="193"/>
      <c r="G125" s="195"/>
      <c r="H125" s="161"/>
      <c r="I125" s="100"/>
      <c r="J125" s="6"/>
      <c r="K125" s="162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33.0" customHeight="1">
      <c r="A126" s="11"/>
      <c r="B126" s="114"/>
      <c r="C126" s="8"/>
      <c r="D126" s="117" t="s">
        <v>91</v>
      </c>
      <c r="E126" s="118" t="s">
        <v>160</v>
      </c>
      <c r="F126" s="193"/>
      <c r="G126" s="194"/>
      <c r="H126" s="161"/>
      <c r="I126" s="100"/>
      <c r="J126" s="6"/>
      <c r="K126" s="162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4.25" customHeight="1">
      <c r="A127" s="11"/>
      <c r="B127" s="114"/>
      <c r="C127" s="8"/>
      <c r="D127" s="196" t="s">
        <v>161</v>
      </c>
      <c r="E127" s="197" t="s">
        <v>162</v>
      </c>
      <c r="F127" s="193"/>
      <c r="G127" s="194"/>
      <c r="H127" s="161"/>
      <c r="I127" s="100"/>
      <c r="J127" s="6"/>
      <c r="K127" s="162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4.25" customHeight="1">
      <c r="A128" s="11"/>
      <c r="B128" s="114"/>
      <c r="C128" s="8"/>
      <c r="D128" s="198" t="s">
        <v>163</v>
      </c>
      <c r="E128" s="197" t="s">
        <v>164</v>
      </c>
      <c r="F128" s="193"/>
      <c r="G128" s="194"/>
      <c r="H128" s="161"/>
      <c r="I128" s="100"/>
      <c r="J128" s="6"/>
      <c r="K128" s="162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4.25" customHeight="1">
      <c r="A129" s="11"/>
      <c r="B129" s="114"/>
      <c r="C129" s="8"/>
      <c r="D129" s="199" t="s">
        <v>86</v>
      </c>
      <c r="E129" s="200"/>
      <c r="F129" s="201"/>
      <c r="G129" s="202"/>
      <c r="H129" s="161"/>
      <c r="I129" s="100"/>
      <c r="J129" s="6"/>
      <c r="K129" s="162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4.25" customHeight="1">
      <c r="A130" s="11"/>
      <c r="B130" s="114"/>
      <c r="C130" s="8"/>
      <c r="D130" s="203"/>
      <c r="E130" s="204"/>
      <c r="F130" s="205"/>
      <c r="G130" s="206"/>
      <c r="H130" s="161"/>
      <c r="I130" s="100"/>
      <c r="J130" s="6"/>
      <c r="K130" s="162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4.25" customHeight="1">
      <c r="A131" s="11"/>
      <c r="B131" s="114"/>
      <c r="C131" s="8"/>
      <c r="D131" s="111" t="s">
        <v>165</v>
      </c>
      <c r="E131" s="189"/>
      <c r="F131" s="190"/>
      <c r="G131" s="191"/>
      <c r="H131" s="161"/>
      <c r="I131" s="100"/>
      <c r="J131" s="6"/>
      <c r="K131" s="162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4.25" customHeight="1">
      <c r="A132" s="11"/>
      <c r="B132" s="114"/>
      <c r="C132" s="8"/>
      <c r="D132" s="117" t="s">
        <v>166</v>
      </c>
      <c r="E132" s="192" t="s">
        <v>157</v>
      </c>
      <c r="F132" s="193"/>
      <c r="G132" s="194"/>
      <c r="H132" s="161"/>
      <c r="I132" s="100"/>
      <c r="J132" s="6"/>
      <c r="K132" s="162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4.25" customHeight="1">
      <c r="A133" s="11"/>
      <c r="B133" s="114"/>
      <c r="C133" s="8"/>
      <c r="D133" s="117" t="s">
        <v>158</v>
      </c>
      <c r="E133" s="192" t="s">
        <v>159</v>
      </c>
      <c r="F133" s="193"/>
      <c r="G133" s="195"/>
      <c r="H133" s="161"/>
      <c r="I133" s="100"/>
      <c r="J133" s="6"/>
      <c r="K133" s="162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4.25" customHeight="1">
      <c r="A134" s="11"/>
      <c r="B134" s="114"/>
      <c r="C134" s="8"/>
      <c r="D134" s="117" t="s">
        <v>98</v>
      </c>
      <c r="E134" s="192" t="s">
        <v>99</v>
      </c>
      <c r="F134" s="193"/>
      <c r="G134" s="195"/>
      <c r="H134" s="161"/>
      <c r="I134" s="100"/>
      <c r="J134" s="6"/>
      <c r="K134" s="162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4.25" customHeight="1">
      <c r="A135" s="11"/>
      <c r="B135" s="114"/>
      <c r="C135" s="8"/>
      <c r="D135" s="117" t="s">
        <v>100</v>
      </c>
      <c r="E135" s="192" t="s">
        <v>101</v>
      </c>
      <c r="F135" s="193"/>
      <c r="G135" s="195"/>
      <c r="H135" s="161"/>
      <c r="I135" s="100"/>
      <c r="J135" s="6"/>
      <c r="K135" s="162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41.25" customHeight="1">
      <c r="A136" s="11"/>
      <c r="B136" s="114"/>
      <c r="C136" s="8"/>
      <c r="D136" s="117" t="s">
        <v>91</v>
      </c>
      <c r="E136" s="118" t="s">
        <v>160</v>
      </c>
      <c r="F136" s="193"/>
      <c r="G136" s="194"/>
      <c r="H136" s="161"/>
      <c r="I136" s="100"/>
      <c r="J136" s="6"/>
      <c r="K136" s="162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4.25" customHeight="1">
      <c r="A137" s="11"/>
      <c r="B137" s="114"/>
      <c r="C137" s="8"/>
      <c r="D137" s="196" t="s">
        <v>167</v>
      </c>
      <c r="E137" s="197" t="s">
        <v>162</v>
      </c>
      <c r="F137" s="193"/>
      <c r="G137" s="194"/>
      <c r="H137" s="161"/>
      <c r="I137" s="100"/>
      <c r="J137" s="6"/>
      <c r="K137" s="162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4.25" customHeight="1">
      <c r="A138" s="11"/>
      <c r="B138" s="114"/>
      <c r="C138" s="8"/>
      <c r="D138" s="198" t="s">
        <v>163</v>
      </c>
      <c r="E138" s="197" t="s">
        <v>168</v>
      </c>
      <c r="F138" s="193"/>
      <c r="G138" s="194"/>
      <c r="H138" s="161"/>
      <c r="I138" s="100"/>
      <c r="J138" s="6"/>
      <c r="K138" s="162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4.25" customHeight="1">
      <c r="A139" s="11"/>
      <c r="B139" s="158"/>
      <c r="C139" s="8"/>
      <c r="D139" s="199" t="s">
        <v>86</v>
      </c>
      <c r="E139" s="200"/>
      <c r="F139" s="201"/>
      <c r="G139" s="202"/>
      <c r="H139" s="161"/>
      <c r="I139" s="100"/>
      <c r="J139" s="6"/>
      <c r="K139" s="162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4.25" customHeight="1">
      <c r="A140" s="11"/>
      <c r="B140" s="11"/>
      <c r="C140" s="8"/>
      <c r="D140" s="161"/>
      <c r="E140" s="100"/>
      <c r="F140" s="6"/>
      <c r="G140" s="162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4.25" customHeight="1">
      <c r="A141" s="11"/>
      <c r="B141" s="176" t="s">
        <v>170</v>
      </c>
      <c r="C141" s="8"/>
      <c r="D141" s="111" t="s">
        <v>171</v>
      </c>
      <c r="E141" s="212"/>
      <c r="F141" s="190"/>
      <c r="G141" s="19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4.25" customHeight="1">
      <c r="A142" s="11"/>
      <c r="B142" s="67"/>
      <c r="C142" s="8"/>
      <c r="D142" s="117" t="s">
        <v>174</v>
      </c>
      <c r="E142" s="192" t="s">
        <v>175</v>
      </c>
      <c r="F142" s="193"/>
      <c r="G142" s="214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4.25" customHeight="1">
      <c r="A143" s="11"/>
      <c r="B143" s="67"/>
      <c r="C143" s="8"/>
      <c r="D143" s="117" t="s">
        <v>176</v>
      </c>
      <c r="E143" s="192" t="s">
        <v>177</v>
      </c>
      <c r="F143" s="193"/>
      <c r="G143" s="214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4.25" customHeight="1">
      <c r="A144" s="11"/>
      <c r="B144" s="67"/>
      <c r="C144" s="8"/>
      <c r="D144" s="117" t="s">
        <v>178</v>
      </c>
      <c r="E144" s="192" t="s">
        <v>179</v>
      </c>
      <c r="F144" s="193"/>
      <c r="G144" s="21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8.0" customHeight="1">
      <c r="A145" s="11"/>
      <c r="B145" s="67"/>
      <c r="C145" s="8"/>
      <c r="D145" s="199" t="s">
        <v>86</v>
      </c>
      <c r="E145" s="221"/>
      <c r="F145" s="201"/>
      <c r="G145" s="202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8.0" customHeight="1">
      <c r="A146" s="11"/>
      <c r="B146" s="67"/>
      <c r="C146" s="8"/>
      <c r="D146" s="224"/>
      <c r="E146" s="227"/>
      <c r="F146" s="230"/>
      <c r="G146" s="232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8.0" customHeight="1">
      <c r="A147" s="11"/>
      <c r="B147" s="67"/>
      <c r="C147" s="8"/>
      <c r="D147" s="111" t="s">
        <v>181</v>
      </c>
      <c r="E147" s="212"/>
      <c r="F147" s="190"/>
      <c r="G147" s="191"/>
      <c r="H147" s="161"/>
      <c r="I147" s="100"/>
      <c r="J147" s="6"/>
      <c r="K147" s="162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8.0" customHeight="1">
      <c r="A148" s="11"/>
      <c r="B148" s="67"/>
      <c r="C148" s="8"/>
      <c r="D148" s="117" t="s">
        <v>182</v>
      </c>
      <c r="E148" s="192" t="s">
        <v>183</v>
      </c>
      <c r="F148" s="193"/>
      <c r="G148" s="214"/>
      <c r="H148" s="161"/>
      <c r="I148" s="100"/>
      <c r="J148" s="6"/>
      <c r="K148" s="162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8.0" customHeight="1">
      <c r="A149" s="11"/>
      <c r="B149" s="67"/>
      <c r="C149" s="8"/>
      <c r="D149" s="117" t="s">
        <v>176</v>
      </c>
      <c r="E149" s="192" t="s">
        <v>177</v>
      </c>
      <c r="F149" s="193"/>
      <c r="G149" s="214"/>
      <c r="H149" s="161"/>
      <c r="I149" s="100"/>
      <c r="J149" s="6"/>
      <c r="K149" s="162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8.0" customHeight="1">
      <c r="A150" s="11"/>
      <c r="B150" s="67"/>
      <c r="C150" s="8"/>
      <c r="D150" s="117" t="s">
        <v>178</v>
      </c>
      <c r="E150" s="192" t="s">
        <v>179</v>
      </c>
      <c r="F150" s="193"/>
      <c r="G150" s="214"/>
      <c r="H150" s="161"/>
      <c r="I150" s="100"/>
      <c r="J150" s="6"/>
      <c r="K150" s="162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8.0" customHeight="1">
      <c r="A151" s="11"/>
      <c r="B151" s="67"/>
      <c r="C151" s="8"/>
      <c r="D151" s="199" t="s">
        <v>86</v>
      </c>
      <c r="E151" s="221"/>
      <c r="F151" s="201"/>
      <c r="G151" s="202"/>
      <c r="H151" s="161"/>
      <c r="I151" s="100"/>
      <c r="J151" s="6"/>
      <c r="K151" s="162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8.0" customHeight="1">
      <c r="A152" s="11"/>
      <c r="B152" s="67"/>
      <c r="C152" s="8"/>
      <c r="D152" s="203"/>
      <c r="E152" s="12"/>
      <c r="F152" s="205"/>
      <c r="G152" s="20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4.25" customHeight="1">
      <c r="A153" s="11"/>
      <c r="B153" s="67"/>
      <c r="C153" s="8"/>
      <c r="D153" s="203"/>
      <c r="E153" s="203"/>
      <c r="F153" s="204"/>
      <c r="G153" s="205"/>
      <c r="H153" s="16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4.25" customHeight="1">
      <c r="A154" s="11"/>
      <c r="B154" s="67"/>
      <c r="C154" s="8"/>
      <c r="D154" s="111" t="s">
        <v>103</v>
      </c>
      <c r="E154" s="238"/>
      <c r="F154" s="241"/>
      <c r="G154" s="243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4.25" customHeight="1">
      <c r="A155" s="11"/>
      <c r="B155" s="67"/>
      <c r="C155" s="8"/>
      <c r="D155" s="117" t="s">
        <v>158</v>
      </c>
      <c r="E155" s="192" t="s">
        <v>159</v>
      </c>
      <c r="F155" s="193"/>
      <c r="G155" s="244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4.25" customHeight="1">
      <c r="A156" s="11"/>
      <c r="B156" s="67"/>
      <c r="C156" s="8"/>
      <c r="D156" s="117" t="s">
        <v>98</v>
      </c>
      <c r="E156" s="192" t="s">
        <v>99</v>
      </c>
      <c r="F156" s="193"/>
      <c r="G156" s="244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4.25" customHeight="1">
      <c r="A157" s="11"/>
      <c r="B157" s="67"/>
      <c r="C157" s="8"/>
      <c r="D157" s="117" t="s">
        <v>100</v>
      </c>
      <c r="E157" s="192" t="s">
        <v>101</v>
      </c>
      <c r="F157" s="193"/>
      <c r="G157" s="244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4.25" customHeight="1">
      <c r="A158" s="11"/>
      <c r="B158" s="67"/>
      <c r="C158" s="8"/>
      <c r="D158" s="117" t="s">
        <v>91</v>
      </c>
      <c r="E158" s="192" t="s">
        <v>105</v>
      </c>
      <c r="F158" s="193"/>
      <c r="G158" s="244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4.25" customHeight="1">
      <c r="A159" s="11"/>
      <c r="B159" s="67"/>
      <c r="C159" s="8"/>
      <c r="D159" s="199" t="s">
        <v>86</v>
      </c>
      <c r="E159" s="246"/>
      <c r="F159" s="201"/>
      <c r="G159" s="24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4.25" customHeight="1">
      <c r="A160" s="11"/>
      <c r="B160" s="67"/>
      <c r="C160" s="8"/>
      <c r="D160" s="248"/>
      <c r="E160" s="248"/>
      <c r="F160" s="248"/>
      <c r="G160" s="24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4.25" customHeight="1">
      <c r="A161" s="11"/>
      <c r="B161" s="67"/>
      <c r="C161" s="8"/>
      <c r="D161" s="111" t="s">
        <v>218</v>
      </c>
      <c r="E161" s="241"/>
      <c r="F161" s="241"/>
      <c r="G161" s="243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4.25" customHeight="1">
      <c r="A162" s="11"/>
      <c r="B162" s="67"/>
      <c r="C162" s="8"/>
      <c r="D162" s="117" t="s">
        <v>158</v>
      </c>
      <c r="E162" s="192" t="s">
        <v>159</v>
      </c>
      <c r="F162" s="193"/>
      <c r="G162" s="244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21.0" customHeight="1">
      <c r="A163" s="11"/>
      <c r="B163" s="67"/>
      <c r="C163" s="8"/>
      <c r="D163" s="117" t="s">
        <v>98</v>
      </c>
      <c r="E163" s="192" t="s">
        <v>99</v>
      </c>
      <c r="F163" s="193"/>
      <c r="G163" s="244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21.0" customHeight="1">
      <c r="A164" s="11"/>
      <c r="B164" s="67"/>
      <c r="C164" s="8"/>
      <c r="D164" s="117" t="s">
        <v>100</v>
      </c>
      <c r="E164" s="192" t="s">
        <v>101</v>
      </c>
      <c r="F164" s="193"/>
      <c r="G164" s="24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21.0" customHeight="1">
      <c r="A165" s="11"/>
      <c r="B165" s="67"/>
      <c r="C165" s="8"/>
      <c r="D165" s="117" t="s">
        <v>91</v>
      </c>
      <c r="E165" s="192" t="s">
        <v>105</v>
      </c>
      <c r="F165" s="193"/>
      <c r="G165" s="244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21.0" customHeight="1">
      <c r="A166" s="11"/>
      <c r="B166" s="67"/>
      <c r="C166" s="8"/>
      <c r="D166" s="199" t="s">
        <v>86</v>
      </c>
      <c r="E166" s="246"/>
      <c r="F166" s="201"/>
      <c r="G166" s="24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21.0" customHeight="1">
      <c r="A167" s="11"/>
      <c r="B167" s="67"/>
      <c r="C167" s="8"/>
      <c r="D167" s="248"/>
      <c r="E167" s="248"/>
      <c r="F167" s="248"/>
      <c r="G167" s="248"/>
      <c r="H167" s="16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21.0" customHeight="1">
      <c r="A168" s="11"/>
      <c r="B168" s="67"/>
      <c r="C168" s="8"/>
      <c r="D168" s="111" t="s">
        <v>109</v>
      </c>
      <c r="E168" s="260"/>
      <c r="F168" s="241"/>
      <c r="G168" s="243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21.0" customHeight="1">
      <c r="A169" s="11"/>
      <c r="B169" s="67"/>
      <c r="C169" s="8"/>
      <c r="D169" s="117" t="s">
        <v>158</v>
      </c>
      <c r="E169" s="262" t="s">
        <v>159</v>
      </c>
      <c r="F169" s="193"/>
      <c r="G169" s="244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21.0" customHeight="1">
      <c r="A170" s="11"/>
      <c r="B170" s="67"/>
      <c r="C170" s="8"/>
      <c r="D170" s="266" t="s">
        <v>98</v>
      </c>
      <c r="E170" s="192" t="s">
        <v>99</v>
      </c>
      <c r="F170" s="193"/>
      <c r="G170" s="244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21.0" customHeight="1">
      <c r="A171" s="11"/>
      <c r="B171" s="67"/>
      <c r="C171" s="8"/>
      <c r="D171" s="117" t="s">
        <v>100</v>
      </c>
      <c r="E171" s="192" t="s">
        <v>101</v>
      </c>
      <c r="F171" s="193"/>
      <c r="G171" s="244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21.0" customHeight="1">
      <c r="A172" s="11"/>
      <c r="B172" s="67"/>
      <c r="C172" s="8"/>
      <c r="D172" s="117" t="s">
        <v>91</v>
      </c>
      <c r="E172" s="192" t="s">
        <v>105</v>
      </c>
      <c r="F172" s="193"/>
      <c r="G172" s="244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21.0" customHeight="1">
      <c r="A173" s="11"/>
      <c r="B173" s="67"/>
      <c r="C173" s="8"/>
      <c r="D173" s="199" t="s">
        <v>86</v>
      </c>
      <c r="E173" s="246"/>
      <c r="F173" s="201"/>
      <c r="G173" s="24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21.0" customHeight="1">
      <c r="A174" s="11"/>
      <c r="B174" s="67"/>
      <c r="C174" s="8"/>
      <c r="D174" s="203"/>
      <c r="E174" s="204"/>
      <c r="F174" s="205"/>
      <c r="G174" s="20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21.0" customHeight="1">
      <c r="A175" s="11"/>
      <c r="B175" s="67"/>
      <c r="C175" s="8"/>
      <c r="D175" s="111" t="s">
        <v>253</v>
      </c>
      <c r="E175" s="212"/>
      <c r="F175" s="190"/>
      <c r="G175" s="191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21.0" customHeight="1">
      <c r="A176" s="11"/>
      <c r="B176" s="67"/>
      <c r="C176" s="8"/>
      <c r="D176" s="117" t="s">
        <v>158</v>
      </c>
      <c r="E176" s="192" t="s">
        <v>159</v>
      </c>
      <c r="F176" s="193"/>
      <c r="G176" s="194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21.0" customHeight="1">
      <c r="A177" s="11"/>
      <c r="B177" s="67"/>
      <c r="C177" s="8"/>
      <c r="D177" s="117" t="s">
        <v>98</v>
      </c>
      <c r="E177" s="192" t="s">
        <v>99</v>
      </c>
      <c r="F177" s="193"/>
      <c r="G177" s="194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39.75" customHeight="1">
      <c r="A178" s="11"/>
      <c r="B178" s="67"/>
      <c r="C178" s="8"/>
      <c r="D178" s="117" t="s">
        <v>100</v>
      </c>
      <c r="E178" s="192" t="s">
        <v>101</v>
      </c>
      <c r="F178" s="193"/>
      <c r="G178" s="194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21.0" customHeight="1">
      <c r="A179" s="11"/>
      <c r="B179" s="67"/>
      <c r="C179" s="8"/>
      <c r="D179" s="117" t="s">
        <v>91</v>
      </c>
      <c r="E179" s="192" t="s">
        <v>270</v>
      </c>
      <c r="F179" s="193"/>
      <c r="G179" s="194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21.0" customHeight="1">
      <c r="A180" s="11"/>
      <c r="B180" s="67"/>
      <c r="C180" s="8"/>
      <c r="D180" s="198" t="s">
        <v>277</v>
      </c>
      <c r="E180" s="197" t="s">
        <v>280</v>
      </c>
      <c r="F180" s="280"/>
      <c r="G180" s="19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21.0" customHeight="1">
      <c r="A181" s="11"/>
      <c r="B181" s="67"/>
      <c r="C181" s="8"/>
      <c r="D181" s="199" t="s">
        <v>86</v>
      </c>
      <c r="E181" s="221"/>
      <c r="F181" s="201"/>
      <c r="G181" s="202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21.0" customHeight="1">
      <c r="A182" s="11"/>
      <c r="B182" s="67"/>
      <c r="C182" s="8"/>
      <c r="D182" s="203"/>
      <c r="E182" s="204"/>
      <c r="F182" s="205"/>
      <c r="G182" s="20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21.0" customHeight="1">
      <c r="A183" s="11"/>
      <c r="B183" s="67"/>
      <c r="C183" s="8"/>
      <c r="D183" s="111" t="s">
        <v>298</v>
      </c>
      <c r="E183" s="212"/>
      <c r="F183" s="190"/>
      <c r="G183" s="191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21.0" customHeight="1">
      <c r="A184" s="11"/>
      <c r="B184" s="67"/>
      <c r="C184" s="8"/>
      <c r="D184" s="198" t="s">
        <v>301</v>
      </c>
      <c r="E184" s="197" t="s">
        <v>302</v>
      </c>
      <c r="F184" s="280"/>
      <c r="G184" s="19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21.0" customHeight="1">
      <c r="A185" s="11"/>
      <c r="B185" s="67"/>
      <c r="C185" s="8"/>
      <c r="D185" s="198" t="s">
        <v>305</v>
      </c>
      <c r="E185" s="192" t="s">
        <v>306</v>
      </c>
      <c r="F185" s="280"/>
      <c r="G185" s="19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21.0" customHeight="1">
      <c r="A186" s="11"/>
      <c r="B186" s="67"/>
      <c r="C186" s="8"/>
      <c r="D186" s="198" t="s">
        <v>313</v>
      </c>
      <c r="E186" s="287" t="s">
        <v>316</v>
      </c>
      <c r="F186" s="280"/>
      <c r="G186" s="19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21.0" customHeight="1">
      <c r="A187" s="11"/>
      <c r="B187" s="67"/>
      <c r="C187" s="8"/>
      <c r="D187" s="196" t="s">
        <v>321</v>
      </c>
      <c r="E187" s="197" t="s">
        <v>302</v>
      </c>
      <c r="F187" s="280"/>
      <c r="G187" s="19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21.0" customHeight="1">
      <c r="A188" s="11"/>
      <c r="B188" s="67"/>
      <c r="C188" s="8"/>
      <c r="D188" s="198" t="s">
        <v>305</v>
      </c>
      <c r="E188" s="197" t="s">
        <v>306</v>
      </c>
      <c r="F188" s="280"/>
      <c r="G188" s="19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21.0" customHeight="1">
      <c r="A189" s="11"/>
      <c r="B189" s="67"/>
      <c r="C189" s="8"/>
      <c r="D189" s="199" t="s">
        <v>86</v>
      </c>
      <c r="E189" s="221"/>
      <c r="F189" s="201"/>
      <c r="G189" s="202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21.0" customHeight="1">
      <c r="A190" s="11"/>
      <c r="B190" s="67"/>
      <c r="C190" s="8"/>
      <c r="D190" s="203"/>
      <c r="E190" s="204"/>
      <c r="F190" s="205"/>
      <c r="G190" s="20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21.0" customHeight="1">
      <c r="A191" s="11"/>
      <c r="B191" s="67"/>
      <c r="C191" s="8"/>
      <c r="D191" s="111" t="s">
        <v>339</v>
      </c>
      <c r="E191" s="189"/>
      <c r="F191" s="190"/>
      <c r="G191" s="19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21.0" customHeight="1">
      <c r="A192" s="11"/>
      <c r="B192" s="67"/>
      <c r="C192" s="8"/>
      <c r="D192" s="266" t="s">
        <v>340</v>
      </c>
      <c r="E192" s="287" t="s">
        <v>316</v>
      </c>
      <c r="F192" s="193"/>
      <c r="G192" s="214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21.0" customHeight="1">
      <c r="A193" s="11"/>
      <c r="B193" s="67"/>
      <c r="C193" s="8"/>
      <c r="D193" s="266" t="s">
        <v>345</v>
      </c>
      <c r="E193" s="287" t="s">
        <v>347</v>
      </c>
      <c r="F193" s="193"/>
      <c r="G193" s="214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21.0" customHeight="1">
      <c r="A194" s="11"/>
      <c r="B194" s="67"/>
      <c r="C194" s="8"/>
      <c r="D194" s="117" t="s">
        <v>349</v>
      </c>
      <c r="E194" s="192" t="s">
        <v>350</v>
      </c>
      <c r="F194" s="193"/>
      <c r="G194" s="19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21.0" customHeight="1">
      <c r="A195" s="11"/>
      <c r="B195" s="67"/>
      <c r="C195" s="8"/>
      <c r="D195" s="199" t="s">
        <v>86</v>
      </c>
      <c r="E195" s="200"/>
      <c r="F195" s="201"/>
      <c r="G195" s="202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21.0" customHeight="1">
      <c r="A196" s="11"/>
      <c r="B196" s="67"/>
      <c r="C196" s="8"/>
      <c r="D196" s="203"/>
      <c r="E196" s="301"/>
      <c r="F196" s="204"/>
      <c r="G196" s="302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21.0" customHeight="1">
      <c r="A197" s="11"/>
      <c r="B197" s="67"/>
      <c r="C197" s="8"/>
      <c r="D197" s="111" t="s">
        <v>366</v>
      </c>
      <c r="E197" s="189"/>
      <c r="F197" s="190"/>
      <c r="G197" s="19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21.0" customHeight="1">
      <c r="A198" s="11"/>
      <c r="B198" s="67"/>
      <c r="C198" s="8"/>
      <c r="D198" s="117" t="s">
        <v>369</v>
      </c>
      <c r="E198" s="192" t="s">
        <v>350</v>
      </c>
      <c r="F198" s="193"/>
      <c r="G198" s="194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21.0" customHeight="1">
      <c r="A199" s="11"/>
      <c r="B199" s="67"/>
      <c r="C199" s="8"/>
      <c r="D199" s="117" t="s">
        <v>370</v>
      </c>
      <c r="E199" s="192" t="s">
        <v>371</v>
      </c>
      <c r="F199" s="193"/>
      <c r="G199" s="194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21.0" customHeight="1">
      <c r="A200" s="11"/>
      <c r="B200" s="67"/>
      <c r="C200" s="8"/>
      <c r="D200" s="199" t="s">
        <v>86</v>
      </c>
      <c r="E200" s="200"/>
      <c r="F200" s="201"/>
      <c r="G200" s="202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21.0" customHeight="1">
      <c r="A201" s="11"/>
      <c r="B201" s="67"/>
      <c r="C201" s="8"/>
      <c r="D201" s="203"/>
      <c r="E201" s="301"/>
      <c r="F201" s="301"/>
      <c r="G201" s="204"/>
      <c r="H201" s="16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21.0" customHeight="1">
      <c r="A202" s="11"/>
      <c r="B202" s="67"/>
      <c r="C202" s="8"/>
      <c r="D202" s="111" t="s">
        <v>386</v>
      </c>
      <c r="E202" s="189"/>
      <c r="F202" s="190"/>
      <c r="G202" s="19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21.0" customHeight="1">
      <c r="A203" s="11"/>
      <c r="B203" s="67"/>
      <c r="C203" s="8"/>
      <c r="D203" s="117" t="s">
        <v>370</v>
      </c>
      <c r="E203" s="192" t="s">
        <v>371</v>
      </c>
      <c r="F203" s="193"/>
      <c r="G203" s="194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21.0" customHeight="1">
      <c r="A204" s="11"/>
      <c r="B204" s="67"/>
      <c r="C204" s="8"/>
      <c r="D204" s="117" t="s">
        <v>400</v>
      </c>
      <c r="E204" s="192" t="s">
        <v>401</v>
      </c>
      <c r="F204" s="193"/>
      <c r="G204" s="19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21.0" customHeight="1">
      <c r="A205" s="11"/>
      <c r="B205" s="67"/>
      <c r="C205" s="8"/>
      <c r="D205" s="115" t="s">
        <v>370</v>
      </c>
      <c r="E205" s="192" t="s">
        <v>409</v>
      </c>
      <c r="F205" s="193"/>
      <c r="G205" s="30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21.0" customHeight="1">
      <c r="A206" s="11"/>
      <c r="B206" s="67"/>
      <c r="C206" s="8"/>
      <c r="D206" s="199" t="s">
        <v>86</v>
      </c>
      <c r="E206" s="200"/>
      <c r="F206" s="201"/>
      <c r="G206" s="202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21.0" customHeight="1">
      <c r="A207" s="11"/>
      <c r="B207" s="67"/>
      <c r="C207" s="8"/>
      <c r="D207" s="203"/>
      <c r="E207" s="301"/>
      <c r="F207" s="204"/>
      <c r="G207" s="302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21.0" customHeight="1">
      <c r="A208" s="11"/>
      <c r="B208" s="67"/>
      <c r="C208" s="8"/>
      <c r="D208" s="111" t="s">
        <v>436</v>
      </c>
      <c r="E208" s="189"/>
      <c r="F208" s="190"/>
      <c r="G208" s="19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21.0" customHeight="1">
      <c r="A209" s="11"/>
      <c r="B209" s="67"/>
      <c r="C209" s="8"/>
      <c r="D209" s="117" t="s">
        <v>370</v>
      </c>
      <c r="E209" s="192" t="s">
        <v>371</v>
      </c>
      <c r="F209" s="193"/>
      <c r="G209" s="30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21.0" customHeight="1">
      <c r="A210" s="11"/>
      <c r="B210" s="67"/>
      <c r="C210" s="8"/>
      <c r="D210" s="117" t="s">
        <v>448</v>
      </c>
      <c r="E210" s="192" t="s">
        <v>449</v>
      </c>
      <c r="F210" s="193"/>
      <c r="G210" s="194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21.0" customHeight="1">
      <c r="A211" s="11"/>
      <c r="B211" s="67"/>
      <c r="C211" s="8"/>
      <c r="D211" s="199" t="s">
        <v>86</v>
      </c>
      <c r="E211" s="200"/>
      <c r="F211" s="201"/>
      <c r="G211" s="202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21.0" customHeight="1">
      <c r="A212" s="11"/>
      <c r="B212" s="67"/>
      <c r="C212" s="8"/>
      <c r="D212" s="203"/>
      <c r="E212" s="301"/>
      <c r="F212" s="204"/>
      <c r="G212" s="30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21.0" customHeight="1">
      <c r="A213" s="11"/>
      <c r="B213" s="67"/>
      <c r="C213" s="8"/>
      <c r="D213" s="111" t="s">
        <v>155</v>
      </c>
      <c r="E213" s="189"/>
      <c r="F213" s="190"/>
      <c r="G213" s="191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21.0" customHeight="1">
      <c r="A214" s="11"/>
      <c r="B214" s="67"/>
      <c r="C214" s="8"/>
      <c r="D214" s="117" t="s">
        <v>156</v>
      </c>
      <c r="E214" s="192" t="s">
        <v>157</v>
      </c>
      <c r="F214" s="193"/>
      <c r="G214" s="19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39.75" customHeight="1">
      <c r="A215" s="11"/>
      <c r="B215" s="67"/>
      <c r="C215" s="8"/>
      <c r="D215" s="117" t="s">
        <v>158</v>
      </c>
      <c r="E215" s="192" t="s">
        <v>159</v>
      </c>
      <c r="F215" s="193"/>
      <c r="G215" s="19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21.0" customHeight="1">
      <c r="A216" s="11"/>
      <c r="B216" s="67"/>
      <c r="C216" s="8"/>
      <c r="D216" s="117" t="s">
        <v>98</v>
      </c>
      <c r="E216" s="192" t="s">
        <v>99</v>
      </c>
      <c r="F216" s="193"/>
      <c r="G216" s="19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21.0" customHeight="1">
      <c r="A217" s="11"/>
      <c r="B217" s="67"/>
      <c r="C217" s="8"/>
      <c r="D217" s="117" t="s">
        <v>100</v>
      </c>
      <c r="E217" s="192" t="s">
        <v>101</v>
      </c>
      <c r="F217" s="193"/>
      <c r="G217" s="19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21.0" customHeight="1">
      <c r="A218" s="11"/>
      <c r="B218" s="67"/>
      <c r="C218" s="8"/>
      <c r="D218" s="117" t="s">
        <v>91</v>
      </c>
      <c r="E218" s="192" t="s">
        <v>494</v>
      </c>
      <c r="F218" s="193"/>
      <c r="G218" s="194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21.0" customHeight="1">
      <c r="A219" s="11"/>
      <c r="B219" s="67"/>
      <c r="C219" s="8"/>
      <c r="D219" s="117" t="s">
        <v>501</v>
      </c>
      <c r="E219" s="192" t="s">
        <v>350</v>
      </c>
      <c r="F219" s="193"/>
      <c r="G219" s="194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21.0" customHeight="1">
      <c r="A220" s="11"/>
      <c r="B220" s="67"/>
      <c r="C220" s="8"/>
      <c r="D220" s="117" t="s">
        <v>370</v>
      </c>
      <c r="E220" s="192" t="s">
        <v>371</v>
      </c>
      <c r="F220" s="193"/>
      <c r="G220" s="194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21.0" customHeight="1">
      <c r="A221" s="11"/>
      <c r="B221" s="67"/>
      <c r="C221" s="8"/>
      <c r="D221" s="196" t="s">
        <v>161</v>
      </c>
      <c r="E221" s="197" t="s">
        <v>162</v>
      </c>
      <c r="F221" s="193"/>
      <c r="G221" s="194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21.0" customHeight="1">
      <c r="A222" s="11"/>
      <c r="B222" s="67"/>
      <c r="C222" s="8"/>
      <c r="D222" s="198" t="s">
        <v>163</v>
      </c>
      <c r="E222" s="197" t="s">
        <v>164</v>
      </c>
      <c r="F222" s="193"/>
      <c r="G222" s="194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21.0" customHeight="1">
      <c r="A223" s="11"/>
      <c r="B223" s="318"/>
      <c r="C223" s="8"/>
      <c r="D223" s="199" t="s">
        <v>86</v>
      </c>
      <c r="E223" s="200"/>
      <c r="F223" s="201"/>
      <c r="G223" s="202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21.0" customHeight="1">
      <c r="A224" s="11"/>
      <c r="B224" s="320"/>
      <c r="C224" s="8"/>
      <c r="D224" s="203"/>
      <c r="E224" s="204"/>
      <c r="F224" s="205"/>
      <c r="G224" s="20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21.0" customHeight="1">
      <c r="A225" s="11"/>
      <c r="B225" s="320"/>
      <c r="C225" s="8"/>
      <c r="D225" s="111" t="s">
        <v>165</v>
      </c>
      <c r="E225" s="189"/>
      <c r="F225" s="190"/>
      <c r="G225" s="191"/>
      <c r="H225" s="203"/>
      <c r="I225" s="204"/>
      <c r="J225" s="205"/>
      <c r="K225" s="20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21.0" customHeight="1">
      <c r="A226" s="11"/>
      <c r="B226" s="320"/>
      <c r="C226" s="8"/>
      <c r="D226" s="117" t="s">
        <v>166</v>
      </c>
      <c r="E226" s="192" t="s">
        <v>157</v>
      </c>
      <c r="F226" s="193"/>
      <c r="G226" s="194"/>
      <c r="H226" s="203"/>
      <c r="I226" s="204"/>
      <c r="J226" s="205"/>
      <c r="K226" s="20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21.0" customHeight="1">
      <c r="A227" s="11"/>
      <c r="B227" s="320"/>
      <c r="C227" s="8"/>
      <c r="D227" s="117" t="s">
        <v>158</v>
      </c>
      <c r="E227" s="192" t="s">
        <v>159</v>
      </c>
      <c r="F227" s="193"/>
      <c r="G227" s="195"/>
      <c r="H227" s="203"/>
      <c r="I227" s="204"/>
      <c r="J227" s="205"/>
      <c r="K227" s="20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21.0" customHeight="1">
      <c r="A228" s="11"/>
      <c r="B228" s="320"/>
      <c r="C228" s="8"/>
      <c r="D228" s="117" t="s">
        <v>98</v>
      </c>
      <c r="E228" s="192" t="s">
        <v>99</v>
      </c>
      <c r="F228" s="193"/>
      <c r="G228" s="195"/>
      <c r="H228" s="203"/>
      <c r="I228" s="204"/>
      <c r="J228" s="205"/>
      <c r="K228" s="20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21.0" customHeight="1">
      <c r="A229" s="11"/>
      <c r="B229" s="320"/>
      <c r="C229" s="8"/>
      <c r="D229" s="117" t="s">
        <v>100</v>
      </c>
      <c r="E229" s="192" t="s">
        <v>101</v>
      </c>
      <c r="F229" s="193"/>
      <c r="G229" s="195"/>
      <c r="H229" s="203"/>
      <c r="I229" s="204"/>
      <c r="J229" s="205"/>
      <c r="K229" s="20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21.0" customHeight="1">
      <c r="A230" s="11"/>
      <c r="B230" s="320"/>
      <c r="C230" s="8"/>
      <c r="D230" s="117" t="s">
        <v>91</v>
      </c>
      <c r="E230" s="192" t="s">
        <v>494</v>
      </c>
      <c r="F230" s="193"/>
      <c r="G230" s="194"/>
      <c r="H230" s="203"/>
      <c r="I230" s="204"/>
      <c r="J230" s="205"/>
      <c r="K230" s="20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21.0" customHeight="1">
      <c r="A231" s="11"/>
      <c r="B231" s="320"/>
      <c r="C231" s="8"/>
      <c r="D231" s="117" t="s">
        <v>501</v>
      </c>
      <c r="E231" s="192" t="s">
        <v>350</v>
      </c>
      <c r="F231" s="193"/>
      <c r="G231" s="194"/>
      <c r="H231" s="203"/>
      <c r="I231" s="204"/>
      <c r="J231" s="205"/>
      <c r="K231" s="20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21.0" customHeight="1">
      <c r="A232" s="11"/>
      <c r="B232" s="320"/>
      <c r="C232" s="8"/>
      <c r="D232" s="117" t="s">
        <v>370</v>
      </c>
      <c r="E232" s="192" t="s">
        <v>371</v>
      </c>
      <c r="F232" s="193"/>
      <c r="G232" s="194"/>
      <c r="H232" s="203"/>
      <c r="I232" s="204"/>
      <c r="J232" s="205"/>
      <c r="K232" s="20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21.0" customHeight="1">
      <c r="A233" s="11"/>
      <c r="B233" s="320"/>
      <c r="C233" s="8"/>
      <c r="D233" s="196" t="s">
        <v>167</v>
      </c>
      <c r="E233" s="197" t="s">
        <v>162</v>
      </c>
      <c r="F233" s="193"/>
      <c r="G233" s="194"/>
      <c r="H233" s="203"/>
      <c r="I233" s="204"/>
      <c r="J233" s="205"/>
      <c r="K233" s="20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48.0" customHeight="1">
      <c r="A234" s="11"/>
      <c r="B234" s="320"/>
      <c r="C234" s="8"/>
      <c r="D234" s="198" t="s">
        <v>163</v>
      </c>
      <c r="E234" s="197" t="s">
        <v>168</v>
      </c>
      <c r="F234" s="193"/>
      <c r="G234" s="194"/>
      <c r="H234" s="203"/>
      <c r="I234" s="204"/>
      <c r="J234" s="205"/>
      <c r="K234" s="20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21.0" customHeight="1">
      <c r="A235" s="11"/>
      <c r="B235" s="335"/>
      <c r="C235" s="8"/>
      <c r="D235" s="199" t="s">
        <v>86</v>
      </c>
      <c r="E235" s="200"/>
      <c r="F235" s="201"/>
      <c r="G235" s="202"/>
      <c r="H235" s="203"/>
      <c r="I235" s="204"/>
      <c r="J235" s="205"/>
      <c r="K235" s="20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4.25" customHeight="1">
      <c r="A236" s="11"/>
      <c r="B236" s="11"/>
      <c r="C236" s="8"/>
      <c r="D236" s="161"/>
      <c r="E236" s="100"/>
      <c r="F236" s="6"/>
      <c r="G236" s="162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9.5" customHeight="1">
      <c r="A237" s="11"/>
      <c r="B237" s="176" t="s">
        <v>141</v>
      </c>
      <c r="C237" s="188"/>
      <c r="D237" s="178" t="s">
        <v>593</v>
      </c>
      <c r="E237" s="179"/>
      <c r="F237" s="180"/>
      <c r="G237" s="18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30.75" customHeight="1">
      <c r="A238" s="11"/>
      <c r="B238" s="67"/>
      <c r="C238" s="188"/>
      <c r="D238" s="338" t="s">
        <v>145</v>
      </c>
      <c r="E238" s="339" t="s">
        <v>146</v>
      </c>
      <c r="F238" s="139"/>
      <c r="G238" s="342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7.25" customHeight="1">
      <c r="A239" s="11"/>
      <c r="B239" s="67"/>
      <c r="C239" s="188"/>
      <c r="D239" s="343" t="s">
        <v>609</v>
      </c>
      <c r="E239" s="116" t="s">
        <v>612</v>
      </c>
      <c r="F239" s="139"/>
      <c r="G239" s="344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4.25" customHeight="1">
      <c r="A240" s="11"/>
      <c r="B240" s="103"/>
      <c r="C240" s="188"/>
      <c r="D240" s="185" t="s">
        <v>86</v>
      </c>
      <c r="E240" s="186"/>
      <c r="F240" s="187"/>
      <c r="G240" s="34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4.25" customHeight="1">
      <c r="A241" s="11"/>
      <c r="B241" s="11"/>
      <c r="C241" s="8"/>
      <c r="D241" s="161"/>
      <c r="E241" s="100"/>
      <c r="F241" s="6"/>
      <c r="G241" s="162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4.25" customHeight="1">
      <c r="A242" s="11"/>
      <c r="B242" s="6"/>
      <c r="C242" s="6"/>
      <c r="D242" s="9"/>
      <c r="E242" s="12"/>
      <c r="F242" s="105"/>
      <c r="G242" s="12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4.25" customHeight="1">
      <c r="A243" s="11"/>
      <c r="B243" s="8"/>
      <c r="C243" s="6"/>
      <c r="D243" s="9"/>
      <c r="E243" s="107"/>
      <c r="F243" s="106"/>
      <c r="G243" s="3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4.25" customHeight="1">
      <c r="A244" s="11"/>
      <c r="B244" s="171" t="s">
        <v>659</v>
      </c>
      <c r="C244" s="6"/>
      <c r="D244" s="284" t="s">
        <v>665</v>
      </c>
      <c r="E244" s="351"/>
      <c r="F244" s="352"/>
      <c r="G244" s="28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4.25" customHeight="1">
      <c r="A245" s="11"/>
      <c r="B245" s="67"/>
      <c r="C245" s="6"/>
      <c r="D245" s="69" t="s">
        <v>671</v>
      </c>
      <c r="E245" s="70" t="s">
        <v>672</v>
      </c>
      <c r="F245" s="73" t="s">
        <v>11</v>
      </c>
      <c r="G245" s="35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4.25" customHeight="1">
      <c r="A246" s="11"/>
      <c r="B246" s="67"/>
      <c r="C246" s="6"/>
      <c r="D246" s="356" t="s">
        <v>678</v>
      </c>
      <c r="E246" s="357" t="s">
        <v>679</v>
      </c>
      <c r="F246" s="359"/>
      <c r="G246" s="36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4.25" customHeight="1">
      <c r="A247" s="11"/>
      <c r="B247" s="103"/>
      <c r="C247" s="6"/>
      <c r="D247" s="98" t="s">
        <v>86</v>
      </c>
      <c r="E247" s="99"/>
      <c r="F247" s="101"/>
      <c r="G247" s="364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4.25" customHeight="1">
      <c r="A248" s="11"/>
      <c r="B248" s="8"/>
      <c r="C248" s="6"/>
      <c r="D248" s="9"/>
      <c r="E248" s="107"/>
      <c r="F248" s="106"/>
      <c r="G248" s="3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4.25" customHeight="1">
      <c r="A249" s="11"/>
      <c r="B249" s="171" t="s">
        <v>686</v>
      </c>
      <c r="C249" s="6"/>
      <c r="D249" s="284" t="s">
        <v>687</v>
      </c>
      <c r="E249" s="351"/>
      <c r="F249" s="352"/>
      <c r="G249" s="28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4.25" customHeight="1">
      <c r="A250" s="11"/>
      <c r="B250" s="67"/>
      <c r="C250" s="6"/>
      <c r="D250" s="69" t="s">
        <v>690</v>
      </c>
      <c r="E250" s="70" t="s">
        <v>691</v>
      </c>
      <c r="F250" s="73"/>
      <c r="G250" s="35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4.25" customHeight="1">
      <c r="A251" s="11"/>
      <c r="B251" s="103"/>
      <c r="C251" s="6"/>
      <c r="D251" s="367" t="s">
        <v>86</v>
      </c>
      <c r="E251" s="369"/>
      <c r="F251" s="371"/>
      <c r="G251" s="373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11"/>
      <c r="B252" s="8"/>
      <c r="C252" s="6"/>
      <c r="D252" s="9"/>
      <c r="E252" s="107"/>
      <c r="F252" s="106"/>
      <c r="G252" s="3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8.75" customHeight="1">
      <c r="A253" s="11"/>
      <c r="B253" s="8"/>
      <c r="C253" s="6"/>
      <c r="D253" s="9"/>
      <c r="E253" s="107"/>
      <c r="F253" s="106"/>
      <c r="G253" s="3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0" customHeight="1">
      <c r="A254" s="11"/>
      <c r="B254" s="171" t="s">
        <v>695</v>
      </c>
      <c r="C254" s="6"/>
      <c r="D254" s="284" t="s">
        <v>696</v>
      </c>
      <c r="E254" s="351"/>
      <c r="F254" s="352"/>
      <c r="G254" s="28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65.25" customHeight="1">
      <c r="A255" s="11"/>
      <c r="B255" s="67"/>
      <c r="C255" s="6"/>
      <c r="D255" s="69" t="s">
        <v>697</v>
      </c>
      <c r="E255" s="70" t="s">
        <v>698</v>
      </c>
      <c r="F255" s="73"/>
      <c r="G255" s="35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32.25" customHeight="1">
      <c r="A256" s="11"/>
      <c r="B256" s="103"/>
      <c r="C256" s="6"/>
      <c r="D256" s="367" t="s">
        <v>86</v>
      </c>
      <c r="E256" s="369"/>
      <c r="F256" s="371"/>
      <c r="G256" s="373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11"/>
      <c r="B257" s="8"/>
      <c r="C257" s="6"/>
      <c r="D257" s="9"/>
      <c r="E257" s="107"/>
      <c r="F257" s="106"/>
      <c r="G257" s="30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11"/>
      <c r="B258" s="171" t="s">
        <v>699</v>
      </c>
      <c r="C258" s="6"/>
      <c r="D258" s="61" t="s">
        <v>700</v>
      </c>
      <c r="E258" s="62"/>
      <c r="F258" s="64"/>
      <c r="G258" s="6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33.0" customHeight="1">
      <c r="A259" s="11"/>
      <c r="B259" s="67"/>
      <c r="C259" s="6"/>
      <c r="D259" s="69" t="s">
        <v>702</v>
      </c>
      <c r="E259" s="70" t="s">
        <v>703</v>
      </c>
      <c r="F259" s="73"/>
      <c r="G259" s="35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11"/>
      <c r="B260" s="67"/>
      <c r="C260" s="6"/>
      <c r="D260" s="69" t="s">
        <v>704</v>
      </c>
      <c r="E260" s="78" t="s">
        <v>705</v>
      </c>
      <c r="F260" s="73"/>
      <c r="G260" s="35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8.0" customHeight="1">
      <c r="A261" s="11"/>
      <c r="B261" s="67"/>
      <c r="C261" s="6"/>
      <c r="D261" s="69" t="s">
        <v>708</v>
      </c>
      <c r="E261" s="78" t="s">
        <v>709</v>
      </c>
      <c r="F261" s="73"/>
      <c r="G261" s="35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20.25" customHeight="1">
      <c r="A262" s="381"/>
      <c r="B262" s="103"/>
      <c r="C262" s="6"/>
      <c r="D262" s="98" t="s">
        <v>86</v>
      </c>
      <c r="E262" s="99"/>
      <c r="F262" s="156"/>
      <c r="G262" s="36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381"/>
      <c r="B263" s="8"/>
      <c r="C263" s="6"/>
      <c r="D263" s="9"/>
      <c r="E263" s="107"/>
      <c r="F263" s="382"/>
      <c r="G263" s="3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1"/>
      <c r="B264" s="8"/>
      <c r="C264" s="6"/>
      <c r="D264" s="9"/>
      <c r="E264" s="107"/>
      <c r="F264" s="106"/>
      <c r="G264" s="3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B265" s="8"/>
      <c r="C265" s="6"/>
      <c r="D265" s="9"/>
      <c r="E265" s="107"/>
      <c r="F265" s="106"/>
      <c r="G265" s="3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27.75" customHeight="1">
      <c r="B266" s="60" t="s">
        <v>713</v>
      </c>
      <c r="C266" s="6"/>
      <c r="D266" s="61" t="s">
        <v>714</v>
      </c>
      <c r="E266" s="62"/>
      <c r="F266" s="64"/>
      <c r="G266" s="6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39.0" customHeight="1">
      <c r="B267" s="67"/>
      <c r="C267" s="6"/>
      <c r="D267" s="69" t="s">
        <v>716</v>
      </c>
      <c r="E267" s="70" t="s">
        <v>717</v>
      </c>
      <c r="F267" s="73"/>
      <c r="G267" s="35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4.25" customHeight="1">
      <c r="A268" s="6"/>
      <c r="B268" s="67"/>
      <c r="C268" s="6"/>
      <c r="D268" s="69" t="s">
        <v>718</v>
      </c>
      <c r="E268" s="78" t="s">
        <v>719</v>
      </c>
      <c r="F268" s="73"/>
      <c r="G268" s="35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4.25" customHeight="1">
      <c r="A269" s="11"/>
      <c r="B269" s="67"/>
      <c r="C269" s="6"/>
      <c r="D269" s="69" t="s">
        <v>724</v>
      </c>
      <c r="E269" s="78" t="s">
        <v>725</v>
      </c>
      <c r="F269" s="73"/>
      <c r="G269" s="35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0" customHeight="1">
      <c r="B270" s="67"/>
      <c r="C270" s="6"/>
      <c r="D270" s="69" t="s">
        <v>729</v>
      </c>
      <c r="E270" s="78" t="s">
        <v>731</v>
      </c>
      <c r="F270" s="73"/>
      <c r="G270" s="35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0" customHeight="1">
      <c r="B271" s="67"/>
      <c r="C271" s="6"/>
      <c r="D271" s="69" t="s">
        <v>734</v>
      </c>
      <c r="E271" s="78" t="s">
        <v>735</v>
      </c>
      <c r="F271" s="73"/>
      <c r="G271" s="35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0" customHeight="1">
      <c r="B272" s="67"/>
      <c r="C272" s="6"/>
      <c r="D272" s="69" t="s">
        <v>739</v>
      </c>
      <c r="E272" s="78" t="s">
        <v>741</v>
      </c>
      <c r="F272" s="73"/>
      <c r="G272" s="35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0" customHeight="1">
      <c r="B273" s="67"/>
      <c r="C273" s="6"/>
      <c r="D273" s="69" t="s">
        <v>742</v>
      </c>
      <c r="E273" s="78" t="s">
        <v>743</v>
      </c>
      <c r="F273" s="73"/>
      <c r="G273" s="35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4.25" customHeight="1">
      <c r="B274" s="67"/>
      <c r="C274" s="6"/>
      <c r="D274" s="69" t="s">
        <v>744</v>
      </c>
      <c r="E274" s="78" t="s">
        <v>745</v>
      </c>
      <c r="F274" s="73"/>
      <c r="G274" s="35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0" customHeight="1">
      <c r="B275" s="67"/>
      <c r="C275" s="6"/>
      <c r="D275" s="69" t="s">
        <v>746</v>
      </c>
      <c r="E275" s="78" t="s">
        <v>747</v>
      </c>
      <c r="F275" s="73"/>
      <c r="G275" s="35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B276" s="67"/>
      <c r="C276" s="6"/>
      <c r="D276" s="98" t="s">
        <v>86</v>
      </c>
      <c r="E276" s="99"/>
      <c r="F276" s="101"/>
      <c r="G276" s="364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11"/>
      <c r="B277" s="67"/>
      <c r="C277" s="6"/>
      <c r="D277" s="104"/>
      <c r="E277" s="105"/>
      <c r="F277" s="107"/>
      <c r="G277" s="109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4.5" customHeight="1">
      <c r="A278" s="11"/>
      <c r="B278" s="67"/>
      <c r="C278" s="6"/>
      <c r="D278" s="104"/>
      <c r="E278" s="105"/>
      <c r="F278" s="107"/>
      <c r="G278" s="109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25.5" customHeight="1">
      <c r="A279" s="11"/>
      <c r="B279" s="67"/>
      <c r="C279" s="6"/>
      <c r="D279" s="61" t="s">
        <v>748</v>
      </c>
      <c r="E279" s="62"/>
      <c r="F279" s="64"/>
      <c r="G279" s="6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11"/>
      <c r="B280" s="67"/>
      <c r="C280" s="6"/>
      <c r="D280" s="69" t="s">
        <v>724</v>
      </c>
      <c r="E280" s="78" t="s">
        <v>749</v>
      </c>
      <c r="F280" s="73"/>
      <c r="G280" s="35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11"/>
      <c r="B281" s="67"/>
      <c r="C281" s="6"/>
      <c r="D281" s="69" t="s">
        <v>729</v>
      </c>
      <c r="E281" s="78" t="s">
        <v>731</v>
      </c>
      <c r="F281" s="73"/>
      <c r="G281" s="35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11"/>
      <c r="B282" s="67"/>
      <c r="C282" s="6"/>
      <c r="D282" s="69" t="s">
        <v>734</v>
      </c>
      <c r="E282" s="78" t="s">
        <v>750</v>
      </c>
      <c r="F282" s="73"/>
      <c r="G282" s="35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11"/>
      <c r="B283" s="67"/>
      <c r="C283" s="6"/>
      <c r="D283" s="69" t="s">
        <v>739</v>
      </c>
      <c r="E283" s="78" t="s">
        <v>741</v>
      </c>
      <c r="F283" s="73"/>
      <c r="G283" s="35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11"/>
      <c r="B284" s="67"/>
      <c r="C284" s="6"/>
      <c r="D284" s="69" t="s">
        <v>742</v>
      </c>
      <c r="E284" s="78" t="s">
        <v>752</v>
      </c>
      <c r="F284" s="73"/>
      <c r="G284" s="35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11"/>
      <c r="B285" s="67"/>
      <c r="C285" s="6"/>
      <c r="D285" s="98" t="s">
        <v>86</v>
      </c>
      <c r="E285" s="99"/>
      <c r="F285" s="101"/>
      <c r="G285" s="364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11"/>
      <c r="B286" s="67"/>
      <c r="C286" s="6"/>
      <c r="D286" s="104"/>
      <c r="E286" s="105"/>
      <c r="F286" s="107"/>
      <c r="G286" s="109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11"/>
      <c r="B287" s="67"/>
      <c r="C287" s="6"/>
      <c r="D287" s="104"/>
      <c r="E287" s="105"/>
      <c r="F287" s="107"/>
      <c r="G287" s="109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11"/>
      <c r="B288" s="67"/>
      <c r="C288" s="6"/>
      <c r="D288" s="61" t="s">
        <v>762</v>
      </c>
      <c r="E288" s="62"/>
      <c r="F288" s="64"/>
      <c r="G288" s="6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11"/>
      <c r="B289" s="67"/>
      <c r="C289" s="6"/>
      <c r="D289" s="69" t="s">
        <v>724</v>
      </c>
      <c r="E289" s="78" t="s">
        <v>725</v>
      </c>
      <c r="F289" s="73"/>
      <c r="G289" s="35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11"/>
      <c r="B290" s="67"/>
      <c r="C290" s="6"/>
      <c r="D290" s="69" t="s">
        <v>729</v>
      </c>
      <c r="E290" s="78" t="s">
        <v>765</v>
      </c>
      <c r="F290" s="73"/>
      <c r="G290" s="35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11"/>
      <c r="B291" s="67"/>
      <c r="C291" s="6"/>
      <c r="D291" s="69" t="s">
        <v>734</v>
      </c>
      <c r="E291" s="78" t="s">
        <v>750</v>
      </c>
      <c r="F291" s="73"/>
      <c r="G291" s="35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11"/>
      <c r="B292" s="67"/>
      <c r="C292" s="6"/>
      <c r="D292" s="69" t="s">
        <v>739</v>
      </c>
      <c r="E292" s="78" t="s">
        <v>741</v>
      </c>
      <c r="F292" s="73"/>
      <c r="G292" s="35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11"/>
      <c r="B293" s="67"/>
      <c r="C293" s="6"/>
      <c r="D293" s="69" t="s">
        <v>742</v>
      </c>
      <c r="E293" s="78" t="s">
        <v>767</v>
      </c>
      <c r="F293" s="73"/>
      <c r="G293" s="35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11"/>
      <c r="B294" s="103"/>
      <c r="C294" s="6"/>
      <c r="D294" s="98" t="s">
        <v>86</v>
      </c>
      <c r="E294" s="99"/>
      <c r="F294" s="101"/>
      <c r="G294" s="36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11"/>
      <c r="B295" s="104"/>
      <c r="C295" s="6"/>
      <c r="D295" s="104"/>
      <c r="E295" s="105"/>
      <c r="F295" s="107"/>
      <c r="G295" s="109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11"/>
      <c r="B296" s="104"/>
      <c r="C296" s="6"/>
      <c r="D296" s="104"/>
      <c r="E296" s="105"/>
      <c r="F296" s="107"/>
      <c r="G296" s="109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11"/>
      <c r="B297" s="104"/>
      <c r="C297" s="6"/>
      <c r="D297" s="104"/>
      <c r="E297" s="105"/>
      <c r="F297" s="107"/>
      <c r="G297" s="109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11"/>
      <c r="B298" s="171" t="s">
        <v>774</v>
      </c>
      <c r="C298" s="6"/>
      <c r="D298" s="61" t="s">
        <v>781</v>
      </c>
      <c r="E298" s="62"/>
      <c r="F298" s="64"/>
      <c r="G298" s="6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11"/>
      <c r="B299" s="67"/>
      <c r="C299" s="6"/>
      <c r="D299" s="69" t="s">
        <v>792</v>
      </c>
      <c r="E299" s="70" t="s">
        <v>793</v>
      </c>
      <c r="F299" s="73"/>
      <c r="G299" s="35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11"/>
      <c r="B300" s="67"/>
      <c r="C300" s="6"/>
      <c r="D300" s="69" t="s">
        <v>796</v>
      </c>
      <c r="E300" s="70" t="s">
        <v>797</v>
      </c>
      <c r="F300" s="73"/>
      <c r="G300" s="35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11"/>
      <c r="B301" s="67"/>
      <c r="C301" s="6"/>
      <c r="D301" s="69" t="s">
        <v>802</v>
      </c>
      <c r="E301" s="78" t="s">
        <v>803</v>
      </c>
      <c r="F301" s="73"/>
      <c r="G301" s="35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11"/>
      <c r="B302" s="67"/>
      <c r="C302" s="6"/>
      <c r="D302" s="367" t="s">
        <v>86</v>
      </c>
      <c r="E302" s="369"/>
      <c r="F302" s="371"/>
      <c r="G302" s="373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11"/>
      <c r="B303" s="67"/>
      <c r="C303" s="6"/>
      <c r="D303" s="104"/>
      <c r="E303" s="105"/>
      <c r="F303" s="107"/>
      <c r="G303" s="109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11"/>
      <c r="B304" s="67"/>
      <c r="C304" s="6"/>
      <c r="D304" s="61" t="s">
        <v>811</v>
      </c>
      <c r="E304" s="62"/>
      <c r="F304" s="64"/>
      <c r="G304" s="66"/>
      <c r="H304" s="104"/>
      <c r="I304" s="105"/>
      <c r="J304" s="107"/>
      <c r="K304" s="109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11"/>
      <c r="B305" s="67"/>
      <c r="C305" s="6"/>
      <c r="D305" s="69" t="s">
        <v>792</v>
      </c>
      <c r="E305" s="70" t="s">
        <v>793</v>
      </c>
      <c r="F305" s="73"/>
      <c r="G305" s="355"/>
      <c r="H305" s="104"/>
      <c r="I305" s="105"/>
      <c r="J305" s="107"/>
      <c r="K305" s="109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38.25" customHeight="1">
      <c r="A306" s="11"/>
      <c r="B306" s="67"/>
      <c r="C306" s="6"/>
      <c r="D306" s="69" t="s">
        <v>819</v>
      </c>
      <c r="E306" s="78" t="s">
        <v>820</v>
      </c>
      <c r="F306" s="73"/>
      <c r="G306" s="355"/>
      <c r="H306" s="104"/>
      <c r="I306" s="105"/>
      <c r="J306" s="107"/>
      <c r="K306" s="109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11"/>
      <c r="B307" s="67"/>
      <c r="C307" s="6"/>
      <c r="D307" s="367" t="s">
        <v>86</v>
      </c>
      <c r="E307" s="369"/>
      <c r="F307" s="371"/>
      <c r="G307" s="373"/>
      <c r="H307" s="104"/>
      <c r="I307" s="105"/>
      <c r="J307" s="107"/>
      <c r="K307" s="109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11"/>
      <c r="B308" s="67"/>
      <c r="C308" s="6"/>
      <c r="D308" s="104"/>
      <c r="E308" s="105"/>
      <c r="F308" s="107"/>
      <c r="G308" s="109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11"/>
      <c r="B309" s="67"/>
      <c r="C309" s="6"/>
      <c r="D309" s="61" t="s">
        <v>828</v>
      </c>
      <c r="E309" s="62"/>
      <c r="F309" s="64"/>
      <c r="G309" s="6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11"/>
      <c r="B310" s="67"/>
      <c r="C310" s="6"/>
      <c r="D310" s="69" t="s">
        <v>792</v>
      </c>
      <c r="E310" s="70" t="s">
        <v>793</v>
      </c>
      <c r="F310" s="73"/>
      <c r="G310" s="35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24.75" customHeight="1">
      <c r="A311" s="11"/>
      <c r="B311" s="67"/>
      <c r="C311" s="6"/>
      <c r="D311" s="69" t="s">
        <v>834</v>
      </c>
      <c r="E311" s="78" t="s">
        <v>835</v>
      </c>
      <c r="F311" s="73"/>
      <c r="G311" s="35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11"/>
      <c r="B312" s="67"/>
      <c r="C312" s="6"/>
      <c r="D312" s="367" t="s">
        <v>86</v>
      </c>
      <c r="E312" s="369"/>
      <c r="F312" s="371"/>
      <c r="G312" s="373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11"/>
      <c r="B313" s="67"/>
      <c r="C313" s="6"/>
      <c r="D313" s="104"/>
      <c r="E313" s="105"/>
      <c r="F313" s="107"/>
      <c r="G313" s="109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11"/>
      <c r="B314" s="67"/>
      <c r="C314" s="6"/>
      <c r="D314" s="61" t="s">
        <v>846</v>
      </c>
      <c r="E314" s="62"/>
      <c r="F314" s="64"/>
      <c r="G314" s="6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11"/>
      <c r="B315" s="67"/>
      <c r="C315" s="6"/>
      <c r="D315" s="69" t="s">
        <v>792</v>
      </c>
      <c r="E315" s="70" t="s">
        <v>793</v>
      </c>
      <c r="F315" s="73"/>
      <c r="G315" s="35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11"/>
      <c r="B316" s="67"/>
      <c r="C316" s="6"/>
      <c r="D316" s="69" t="s">
        <v>854</v>
      </c>
      <c r="E316" s="78" t="s">
        <v>856</v>
      </c>
      <c r="F316" s="73"/>
      <c r="G316" s="35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11"/>
      <c r="B317" s="67"/>
      <c r="C317" s="6"/>
      <c r="D317" s="367" t="s">
        <v>86</v>
      </c>
      <c r="E317" s="369"/>
      <c r="F317" s="371"/>
      <c r="G317" s="373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11"/>
      <c r="B318" s="67"/>
      <c r="C318" s="6"/>
      <c r="D318" s="104"/>
      <c r="E318" s="105"/>
      <c r="F318" s="107"/>
      <c r="G318" s="109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11"/>
      <c r="B319" s="67"/>
      <c r="C319" s="6"/>
      <c r="D319" s="61" t="s">
        <v>861</v>
      </c>
      <c r="E319" s="62"/>
      <c r="F319" s="64"/>
      <c r="G319" s="6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11"/>
      <c r="B320" s="67"/>
      <c r="C320" s="6"/>
      <c r="D320" s="69" t="s">
        <v>792</v>
      </c>
      <c r="E320" s="70" t="s">
        <v>793</v>
      </c>
      <c r="F320" s="73"/>
      <c r="G320" s="35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11"/>
      <c r="B321" s="67"/>
      <c r="C321" s="6"/>
      <c r="D321" s="69" t="s">
        <v>865</v>
      </c>
      <c r="E321" s="78" t="s">
        <v>866</v>
      </c>
      <c r="F321" s="73"/>
      <c r="G321" s="35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11"/>
      <c r="B322" s="67"/>
      <c r="C322" s="6"/>
      <c r="D322" s="367" t="s">
        <v>86</v>
      </c>
      <c r="E322" s="369"/>
      <c r="F322" s="371"/>
      <c r="G322" s="373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11"/>
      <c r="B323" s="67"/>
      <c r="C323" s="6"/>
      <c r="D323" s="104"/>
      <c r="E323" s="105"/>
      <c r="F323" s="107"/>
      <c r="G323" s="109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11"/>
      <c r="B324" s="67"/>
      <c r="C324" s="6"/>
      <c r="D324" s="61" t="s">
        <v>873</v>
      </c>
      <c r="E324" s="62"/>
      <c r="F324" s="64"/>
      <c r="G324" s="66"/>
      <c r="H324" s="104"/>
      <c r="I324" s="105"/>
      <c r="J324" s="107"/>
      <c r="K324" s="109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11"/>
      <c r="B325" s="67"/>
      <c r="C325" s="6"/>
      <c r="D325" s="69" t="s">
        <v>792</v>
      </c>
      <c r="E325" s="70" t="s">
        <v>793</v>
      </c>
      <c r="F325" s="73"/>
      <c r="G325" s="355"/>
      <c r="H325" s="104"/>
      <c r="I325" s="105"/>
      <c r="J325" s="107"/>
      <c r="K325" s="109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37.5" customHeight="1">
      <c r="A326" s="11"/>
      <c r="B326" s="67"/>
      <c r="C326" s="6"/>
      <c r="D326" s="69" t="s">
        <v>877</v>
      </c>
      <c r="E326" s="78" t="s">
        <v>878</v>
      </c>
      <c r="F326" s="73"/>
      <c r="G326" s="355"/>
      <c r="H326" s="104"/>
      <c r="I326" s="105"/>
      <c r="J326" s="107"/>
      <c r="K326" s="109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11"/>
      <c r="B327" s="103"/>
      <c r="C327" s="6"/>
      <c r="D327" s="367" t="s">
        <v>86</v>
      </c>
      <c r="E327" s="369"/>
      <c r="F327" s="371"/>
      <c r="G327" s="373"/>
      <c r="H327" s="104"/>
      <c r="I327" s="105"/>
      <c r="J327" s="107"/>
      <c r="K327" s="109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4.25" customHeight="1">
      <c r="A328" s="381"/>
      <c r="B328" s="104"/>
      <c r="C328" s="6"/>
      <c r="D328" s="104"/>
      <c r="E328" s="105"/>
      <c r="F328" s="107"/>
      <c r="G328" s="10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3.5" customHeight="1">
      <c r="A329" s="6"/>
      <c r="B329" s="104"/>
      <c r="C329" s="6"/>
      <c r="D329" s="9"/>
      <c r="E329" s="105"/>
      <c r="F329" s="107"/>
      <c r="G329" s="10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4.25" customHeight="1">
      <c r="A330" s="6"/>
      <c r="B330" s="8"/>
      <c r="C330" s="6"/>
      <c r="D330" s="6"/>
      <c r="E330" s="107"/>
      <c r="F330" s="106"/>
      <c r="G330" s="3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79.5" customHeight="1">
      <c r="A331" s="11"/>
      <c r="B331" s="171" t="s">
        <v>880</v>
      </c>
      <c r="C331" s="6"/>
      <c r="D331" s="61" t="s">
        <v>881</v>
      </c>
      <c r="E331" s="62"/>
      <c r="F331" s="64"/>
      <c r="G331" s="6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35.25" customHeight="1">
      <c r="B332" s="67"/>
      <c r="C332" s="6"/>
      <c r="D332" s="42" t="s">
        <v>884</v>
      </c>
      <c r="E332" s="70" t="s">
        <v>885</v>
      </c>
      <c r="F332" s="73"/>
      <c r="G332" s="35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B333" s="67"/>
      <c r="C333" s="6"/>
      <c r="D333" s="69" t="s">
        <v>886</v>
      </c>
      <c r="E333" s="78" t="s">
        <v>887</v>
      </c>
      <c r="F333" s="73"/>
      <c r="G333" s="35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4.25" customHeight="1">
      <c r="B334" s="67"/>
      <c r="C334" s="6"/>
      <c r="D334" s="69" t="s">
        <v>888</v>
      </c>
      <c r="E334" s="78" t="s">
        <v>889</v>
      </c>
      <c r="F334" s="73"/>
      <c r="G334" s="35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4.25" customHeight="1">
      <c r="B335" s="67"/>
      <c r="C335" s="6"/>
      <c r="D335" s="69" t="s">
        <v>890</v>
      </c>
      <c r="E335" s="78" t="s">
        <v>891</v>
      </c>
      <c r="F335" s="73"/>
      <c r="G335" s="35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4.25" customHeight="1">
      <c r="B336" s="67"/>
      <c r="C336" s="6"/>
      <c r="D336" s="69" t="s">
        <v>892</v>
      </c>
      <c r="E336" s="78" t="s">
        <v>893</v>
      </c>
      <c r="F336" s="73"/>
      <c r="G336" s="35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76.5" customHeight="1">
      <c r="B337" s="67"/>
      <c r="C337" s="6"/>
      <c r="D337" s="69" t="s">
        <v>894</v>
      </c>
      <c r="E337" s="78" t="s">
        <v>895</v>
      </c>
      <c r="F337" s="73"/>
      <c r="G337" s="35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68.25" customHeight="1">
      <c r="B338" s="67"/>
      <c r="C338" s="6"/>
      <c r="D338" s="69" t="s">
        <v>896</v>
      </c>
      <c r="E338" s="78" t="s">
        <v>897</v>
      </c>
      <c r="F338" s="73"/>
      <c r="G338" s="35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4.25" customHeight="1">
      <c r="A339" s="11"/>
      <c r="B339" s="67"/>
      <c r="C339" s="6"/>
      <c r="D339" s="69" t="s">
        <v>898</v>
      </c>
      <c r="E339" s="78" t="s">
        <v>899</v>
      </c>
      <c r="F339" s="73"/>
      <c r="G339" s="35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4.25" customHeight="1">
      <c r="A340" s="11"/>
      <c r="B340" s="67"/>
      <c r="C340" s="6"/>
      <c r="D340" s="69" t="s">
        <v>900</v>
      </c>
      <c r="E340" s="78" t="s">
        <v>901</v>
      </c>
      <c r="F340" s="73"/>
      <c r="G340" s="35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4.25" customHeight="1">
      <c r="A341" s="11"/>
      <c r="B341" s="67"/>
      <c r="C341" s="6"/>
      <c r="D341" s="69" t="s">
        <v>902</v>
      </c>
      <c r="E341" s="78" t="s">
        <v>903</v>
      </c>
      <c r="F341" s="73"/>
      <c r="G341" s="35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4.25" customHeight="1">
      <c r="A342" s="11"/>
      <c r="B342" s="103"/>
      <c r="C342" s="6"/>
      <c r="D342" s="98" t="s">
        <v>86</v>
      </c>
      <c r="E342" s="99"/>
      <c r="F342" s="101"/>
      <c r="G342" s="36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4.25" customHeight="1">
      <c r="B343" s="8"/>
      <c r="C343" s="6"/>
      <c r="D343" s="9"/>
      <c r="E343" s="107"/>
      <c r="F343" s="106"/>
      <c r="G343" s="30"/>
      <c r="H343" s="248"/>
      <c r="I343" s="248"/>
      <c r="J343" s="248"/>
      <c r="K343" s="248"/>
      <c r="L343" s="248"/>
      <c r="M343" s="248"/>
      <c r="N343" s="248"/>
      <c r="O343" s="248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  <c r="AA343" s="248"/>
    </row>
    <row r="344" ht="15.75" customHeight="1">
      <c r="B344" s="6"/>
      <c r="C344" s="6"/>
      <c r="D344" s="9"/>
      <c r="E344" s="107"/>
      <c r="F344" s="106"/>
      <c r="G344" s="30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B345" s="397" t="s">
        <v>904</v>
      </c>
      <c r="C345" s="1"/>
      <c r="D345" s="250"/>
      <c r="E345" s="252"/>
      <c r="F345" s="398"/>
      <c r="G345" s="25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4.25" customHeight="1">
      <c r="B346" s="318"/>
      <c r="C346" s="1"/>
      <c r="D346" s="250"/>
      <c r="E346" s="399"/>
      <c r="F346" s="398"/>
      <c r="G346" s="25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4.25" customHeight="1">
      <c r="A347" s="6"/>
      <c r="B347" s="400" t="s">
        <v>907</v>
      </c>
      <c r="C347" s="6"/>
      <c r="D347" s="61" t="s">
        <v>908</v>
      </c>
      <c r="E347" s="62"/>
      <c r="F347" s="64"/>
      <c r="G347" s="6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11"/>
      <c r="B348" s="67"/>
      <c r="C348" s="6"/>
      <c r="D348" s="42" t="s">
        <v>909</v>
      </c>
      <c r="E348" s="70" t="s">
        <v>910</v>
      </c>
      <c r="F348" s="73"/>
      <c r="G348" s="35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B349" s="67"/>
      <c r="C349" s="6"/>
      <c r="D349" s="69" t="s">
        <v>912</v>
      </c>
      <c r="E349" s="70" t="s">
        <v>913</v>
      </c>
      <c r="F349" s="73"/>
      <c r="G349" s="35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B350" s="67"/>
      <c r="C350" s="6"/>
      <c r="D350" s="69" t="s">
        <v>914</v>
      </c>
      <c r="E350" s="78" t="s">
        <v>915</v>
      </c>
      <c r="F350" s="73"/>
      <c r="G350" s="35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B351" s="67"/>
      <c r="C351" s="6"/>
      <c r="D351" s="69" t="s">
        <v>916</v>
      </c>
      <c r="E351" s="78" t="s">
        <v>917</v>
      </c>
      <c r="F351" s="73"/>
      <c r="G351" s="35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9.5" customHeight="1">
      <c r="B352" s="67"/>
      <c r="C352" s="6"/>
      <c r="D352" s="69" t="s">
        <v>918</v>
      </c>
      <c r="E352" s="78" t="s">
        <v>919</v>
      </c>
      <c r="F352" s="73"/>
      <c r="G352" s="35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33.0" customHeight="1">
      <c r="B353" s="67"/>
      <c r="C353" s="6"/>
      <c r="D353" s="69" t="s">
        <v>923</v>
      </c>
      <c r="E353" s="78" t="s">
        <v>925</v>
      </c>
      <c r="F353" s="73"/>
      <c r="G353" s="35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4.25" customHeight="1">
      <c r="B354" s="103"/>
      <c r="C354" s="6"/>
      <c r="D354" s="98" t="s">
        <v>86</v>
      </c>
      <c r="E354" s="99"/>
      <c r="F354" s="101"/>
      <c r="G354" s="36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4.25" customHeight="1">
      <c r="A355" s="6"/>
      <c r="B355" s="354"/>
      <c r="C355" s="1"/>
      <c r="D355" s="250"/>
      <c r="E355" s="252"/>
      <c r="F355" s="354"/>
      <c r="G355" s="25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4.25" customHeight="1">
      <c r="A356" s="11"/>
      <c r="B356" s="354"/>
      <c r="C356" s="1"/>
      <c r="D356" s="250"/>
      <c r="E356" s="252"/>
      <c r="F356" s="354"/>
      <c r="G356" s="25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4.25" customHeight="1">
      <c r="B357" s="171" t="s">
        <v>932</v>
      </c>
      <c r="C357" s="6"/>
      <c r="D357" s="61" t="s">
        <v>933</v>
      </c>
      <c r="E357" s="295"/>
      <c r="F357" s="64"/>
      <c r="G357" s="6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41.25" customHeight="1">
      <c r="A358" s="242"/>
      <c r="B358" s="67"/>
      <c r="C358" s="6"/>
      <c r="D358" s="42" t="s">
        <v>909</v>
      </c>
      <c r="E358" s="70" t="s">
        <v>934</v>
      </c>
      <c r="F358" s="73"/>
      <c r="G358" s="35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40.5" customHeight="1">
      <c r="A359" s="11"/>
      <c r="B359" s="67"/>
      <c r="C359" s="6"/>
      <c r="D359" s="42" t="s">
        <v>935</v>
      </c>
      <c r="E359" s="70" t="s">
        <v>936</v>
      </c>
      <c r="F359" s="73"/>
      <c r="G359" s="35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4.25" customHeight="1">
      <c r="B360" s="103"/>
      <c r="C360" s="6"/>
      <c r="D360" s="98" t="s">
        <v>86</v>
      </c>
      <c r="E360" s="99"/>
      <c r="F360" s="401"/>
      <c r="G360" s="36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4.25" customHeight="1">
      <c r="B361" s="8"/>
      <c r="C361" s="6"/>
      <c r="D361" s="9"/>
      <c r="E361" s="107"/>
      <c r="F361" s="106"/>
      <c r="G361" s="3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4.25" customHeight="1">
      <c r="B362" s="171" t="s">
        <v>937</v>
      </c>
      <c r="C362" s="6"/>
      <c r="D362" s="61" t="s">
        <v>938</v>
      </c>
      <c r="E362" s="62"/>
      <c r="F362" s="64"/>
      <c r="G362" s="6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34.5" customHeight="1">
      <c r="B363" s="67"/>
      <c r="C363" s="6"/>
      <c r="D363" s="42" t="s">
        <v>909</v>
      </c>
      <c r="E363" s="70" t="s">
        <v>934</v>
      </c>
      <c r="F363" s="73"/>
      <c r="G363" s="35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45.75" customHeight="1">
      <c r="B364" s="67"/>
      <c r="C364" s="6"/>
      <c r="D364" s="69" t="s">
        <v>939</v>
      </c>
      <c r="E364" s="78" t="s">
        <v>940</v>
      </c>
      <c r="F364" s="73"/>
      <c r="G364" s="35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28.5" customHeight="1">
      <c r="B365" s="67"/>
      <c r="C365" s="6"/>
      <c r="D365" s="69" t="s">
        <v>941</v>
      </c>
      <c r="E365" s="78" t="s">
        <v>942</v>
      </c>
      <c r="F365" s="73"/>
      <c r="G365" s="35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4.25" customHeight="1">
      <c r="B366" s="67"/>
      <c r="C366" s="6"/>
      <c r="D366" s="69" t="s">
        <v>945</v>
      </c>
      <c r="E366" s="78" t="s">
        <v>946</v>
      </c>
      <c r="F366" s="73"/>
      <c r="G366" s="35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3.5" customHeight="1">
      <c r="B367" s="67"/>
      <c r="C367" s="6"/>
      <c r="D367" s="69" t="s">
        <v>616</v>
      </c>
      <c r="E367" s="78" t="s">
        <v>949</v>
      </c>
      <c r="F367" s="73"/>
      <c r="G367" s="35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3.5" customHeight="1">
      <c r="A368" s="6"/>
      <c r="B368" s="67"/>
      <c r="C368" s="6"/>
      <c r="D368" s="69" t="s">
        <v>294</v>
      </c>
      <c r="E368" s="78" t="s">
        <v>295</v>
      </c>
      <c r="F368" s="73"/>
      <c r="G368" s="35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4.25" customHeight="1">
      <c r="A369" s="11"/>
      <c r="B369" s="67"/>
      <c r="C369" s="6"/>
      <c r="D369" s="98" t="s">
        <v>86</v>
      </c>
      <c r="E369" s="99"/>
      <c r="F369" s="101"/>
      <c r="G369" s="36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4.25" customHeight="1">
      <c r="A370" s="11"/>
      <c r="B370" s="67"/>
      <c r="C370" s="6"/>
      <c r="D370" s="104"/>
      <c r="E370" s="105"/>
      <c r="F370" s="107"/>
      <c r="G370" s="109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4.25" customHeight="1">
      <c r="A371" s="11"/>
      <c r="B371" s="67"/>
      <c r="C371" s="6"/>
      <c r="D371" s="61" t="s">
        <v>951</v>
      </c>
      <c r="E371" s="62"/>
      <c r="F371" s="64"/>
      <c r="G371" s="6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38.25" customHeight="1">
      <c r="A372" s="11"/>
      <c r="B372" s="67"/>
      <c r="C372" s="6"/>
      <c r="D372" s="42" t="s">
        <v>909</v>
      </c>
      <c r="E372" s="70" t="s">
        <v>934</v>
      </c>
      <c r="F372" s="73"/>
      <c r="G372" s="35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44.25" customHeight="1">
      <c r="A373" s="11"/>
      <c r="B373" s="67"/>
      <c r="C373" s="6"/>
      <c r="D373" s="69" t="s">
        <v>939</v>
      </c>
      <c r="E373" s="78" t="s">
        <v>940</v>
      </c>
      <c r="F373" s="73"/>
      <c r="G373" s="35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22.5" customHeight="1">
      <c r="A374" s="11"/>
      <c r="B374" s="67"/>
      <c r="C374" s="6"/>
      <c r="D374" s="69" t="s">
        <v>956</v>
      </c>
      <c r="E374" s="78"/>
      <c r="F374" s="73"/>
      <c r="G374" s="35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4.25" customHeight="1">
      <c r="A375" s="11"/>
      <c r="B375" s="67"/>
      <c r="C375" s="6"/>
      <c r="D375" s="69" t="s">
        <v>294</v>
      </c>
      <c r="E375" s="78" t="s">
        <v>959</v>
      </c>
      <c r="F375" s="73"/>
      <c r="G375" s="35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4.25" customHeight="1">
      <c r="A376" s="11"/>
      <c r="B376" s="103"/>
      <c r="C376" s="6"/>
      <c r="D376" s="98" t="s">
        <v>86</v>
      </c>
      <c r="E376" s="99"/>
      <c r="F376" s="101"/>
      <c r="G376" s="36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3.5" customHeight="1">
      <c r="A377" s="11"/>
      <c r="B377" s="107"/>
      <c r="C377" s="6"/>
      <c r="D377" s="250"/>
      <c r="E377" s="252"/>
      <c r="F377" s="354"/>
      <c r="G377" s="25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354"/>
      <c r="C378" s="1"/>
      <c r="D378" s="12"/>
      <c r="E378" s="12"/>
      <c r="F378" s="382"/>
      <c r="G378" s="109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0" customHeight="1">
      <c r="A379" s="245"/>
      <c r="B379" s="171" t="s">
        <v>962</v>
      </c>
      <c r="C379" s="6"/>
      <c r="D379" s="61" t="s">
        <v>963</v>
      </c>
      <c r="E379" s="179"/>
      <c r="F379" s="64"/>
      <c r="G379" s="6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27.75" customHeight="1">
      <c r="A380" s="245"/>
      <c r="B380" s="67"/>
      <c r="C380" s="6"/>
      <c r="D380" s="42" t="s">
        <v>909</v>
      </c>
      <c r="E380" s="70" t="s">
        <v>965</v>
      </c>
      <c r="F380" s="402"/>
      <c r="G380" s="49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27.75" customHeight="1">
      <c r="A381" s="245"/>
      <c r="B381" s="67"/>
      <c r="C381" s="6"/>
      <c r="D381" s="42" t="s">
        <v>967</v>
      </c>
      <c r="E381" s="70" t="s">
        <v>968</v>
      </c>
      <c r="F381" s="402"/>
      <c r="G381" s="49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245"/>
      <c r="B382" s="103"/>
      <c r="C382" s="6"/>
      <c r="D382" s="403" t="s">
        <v>86</v>
      </c>
      <c r="E382" s="139"/>
      <c r="F382" s="402"/>
      <c r="G382" s="49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8"/>
      <c r="C383" s="6"/>
      <c r="D383" s="12"/>
      <c r="E383" s="12"/>
      <c r="F383" s="382"/>
      <c r="G383" s="109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26"/>
      <c r="B384" s="60" t="s">
        <v>975</v>
      </c>
      <c r="C384" s="6"/>
      <c r="D384" s="61" t="s">
        <v>980</v>
      </c>
      <c r="E384" s="180"/>
      <c r="F384" s="64"/>
      <c r="G384" s="6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32.25" customHeight="1">
      <c r="A385" s="26"/>
      <c r="B385" s="67"/>
      <c r="C385" s="6"/>
      <c r="D385" s="42" t="s">
        <v>909</v>
      </c>
      <c r="E385" s="70" t="s">
        <v>910</v>
      </c>
      <c r="F385" s="73"/>
      <c r="G385" s="35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26"/>
      <c r="B386" s="67"/>
      <c r="C386" s="6"/>
      <c r="D386" s="69" t="s">
        <v>991</v>
      </c>
      <c r="E386" s="70" t="s">
        <v>992</v>
      </c>
      <c r="F386" s="73"/>
      <c r="G386" s="35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0" customHeight="1">
      <c r="A387" s="26"/>
      <c r="B387" s="67"/>
      <c r="C387" s="6"/>
      <c r="D387" s="69" t="s">
        <v>997</v>
      </c>
      <c r="E387" s="78" t="s">
        <v>998</v>
      </c>
      <c r="F387" s="73"/>
      <c r="G387" s="35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0" customHeight="1">
      <c r="A388" s="26"/>
      <c r="B388" s="67"/>
      <c r="C388" s="6"/>
      <c r="D388" s="69" t="s">
        <v>999</v>
      </c>
      <c r="E388" s="78" t="s">
        <v>1000</v>
      </c>
      <c r="F388" s="73"/>
      <c r="G388" s="35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0" customHeight="1">
      <c r="A389" s="26"/>
      <c r="B389" s="67"/>
      <c r="C389" s="6"/>
      <c r="D389" s="69" t="s">
        <v>1001</v>
      </c>
      <c r="E389" s="78" t="s">
        <v>1002</v>
      </c>
      <c r="F389" s="404"/>
      <c r="G389" s="40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0" customHeight="1">
      <c r="A390" s="26"/>
      <c r="B390" s="67"/>
      <c r="C390" s="6"/>
      <c r="D390" s="69" t="s">
        <v>1003</v>
      </c>
      <c r="E390" s="78" t="s">
        <v>949</v>
      </c>
      <c r="F390" s="404"/>
      <c r="G390" s="40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4.25" customHeight="1">
      <c r="A391" s="26"/>
      <c r="B391" s="67"/>
      <c r="C391" s="6"/>
      <c r="D391" s="69" t="s">
        <v>294</v>
      </c>
      <c r="E391" s="78" t="s">
        <v>1004</v>
      </c>
      <c r="F391" s="404"/>
      <c r="G391" s="40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4.25" customHeight="1">
      <c r="A392" s="26"/>
      <c r="B392" s="67"/>
      <c r="C392" s="6"/>
      <c r="D392" s="98" t="s">
        <v>86</v>
      </c>
      <c r="E392" s="99"/>
      <c r="F392" s="101"/>
      <c r="G392" s="36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4.25" customHeight="1">
      <c r="A393" s="26"/>
      <c r="B393" s="67"/>
      <c r="C393" s="6"/>
      <c r="D393" s="104"/>
      <c r="E393" s="105"/>
      <c r="F393" s="107"/>
      <c r="G393" s="109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4.25" customHeight="1">
      <c r="A394" s="26"/>
      <c r="B394" s="67"/>
      <c r="C394" s="6"/>
      <c r="D394" s="61" t="s">
        <v>1006</v>
      </c>
      <c r="E394" s="180"/>
      <c r="F394" s="64"/>
      <c r="G394" s="6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36.75" customHeight="1">
      <c r="A395" s="26">
        <v>14.0</v>
      </c>
      <c r="B395" s="67"/>
      <c r="C395" s="6"/>
      <c r="D395" s="42" t="s">
        <v>909</v>
      </c>
      <c r="E395" s="70" t="s">
        <v>910</v>
      </c>
      <c r="F395" s="73"/>
      <c r="G395" s="35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33.75" customHeight="1">
      <c r="A396" s="26"/>
      <c r="B396" s="67"/>
      <c r="C396" s="6"/>
      <c r="D396" s="69" t="s">
        <v>991</v>
      </c>
      <c r="E396" s="70" t="s">
        <v>992</v>
      </c>
      <c r="F396" s="73"/>
      <c r="G396" s="35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4.25" customHeight="1">
      <c r="A397" s="26"/>
      <c r="B397" s="67"/>
      <c r="C397" s="6"/>
      <c r="D397" s="69" t="s">
        <v>1010</v>
      </c>
      <c r="E397" s="78"/>
      <c r="F397" s="404"/>
      <c r="G397" s="40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4.25" customHeight="1">
      <c r="A398" s="26"/>
      <c r="B398" s="67"/>
      <c r="C398" s="6"/>
      <c r="D398" s="69" t="s">
        <v>1003</v>
      </c>
      <c r="E398" s="78" t="s">
        <v>949</v>
      </c>
      <c r="F398" s="404"/>
      <c r="G398" s="40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4.25" customHeight="1">
      <c r="A399" s="26"/>
      <c r="B399" s="67"/>
      <c r="C399" s="6"/>
      <c r="D399" s="69" t="s">
        <v>294</v>
      </c>
      <c r="E399" s="78"/>
      <c r="F399" s="404"/>
      <c r="G399" s="40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4.25" customHeight="1">
      <c r="A400" s="26"/>
      <c r="B400" s="67"/>
      <c r="C400" s="6"/>
      <c r="D400" s="98" t="s">
        <v>86</v>
      </c>
      <c r="E400" s="99"/>
      <c r="F400" s="101"/>
      <c r="G400" s="36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4.25" customHeight="1">
      <c r="A401" s="26"/>
      <c r="B401" s="67"/>
      <c r="C401" s="6"/>
      <c r="D401" s="104"/>
      <c r="E401" s="105"/>
      <c r="F401" s="107"/>
      <c r="G401" s="109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4.25" customHeight="1">
      <c r="A402" s="26"/>
      <c r="B402" s="67"/>
      <c r="C402" s="6"/>
      <c r="D402" s="61" t="s">
        <v>1011</v>
      </c>
      <c r="E402" s="180"/>
      <c r="F402" s="64"/>
      <c r="G402" s="6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4.25" customHeight="1">
      <c r="A403" s="26"/>
      <c r="B403" s="67"/>
      <c r="C403" s="6"/>
      <c r="D403" s="42" t="s">
        <v>909</v>
      </c>
      <c r="E403" s="70" t="s">
        <v>910</v>
      </c>
      <c r="F403" s="73"/>
      <c r="G403" s="35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4.25" customHeight="1">
      <c r="A404" s="26"/>
      <c r="B404" s="67"/>
      <c r="C404" s="6"/>
      <c r="D404" s="69" t="s">
        <v>991</v>
      </c>
      <c r="E404" s="70" t="s">
        <v>992</v>
      </c>
      <c r="F404" s="73"/>
      <c r="G404" s="35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4.25" customHeight="1">
      <c r="A405" s="26"/>
      <c r="B405" s="67"/>
      <c r="C405" s="6"/>
      <c r="D405" s="69" t="s">
        <v>1013</v>
      </c>
      <c r="E405" s="78" t="s">
        <v>1002</v>
      </c>
      <c r="F405" s="404"/>
      <c r="G405" s="40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4.25" customHeight="1">
      <c r="A406" s="26"/>
      <c r="B406" s="67"/>
      <c r="C406" s="6"/>
      <c r="D406" s="69" t="s">
        <v>1003</v>
      </c>
      <c r="E406" s="78" t="s">
        <v>949</v>
      </c>
      <c r="F406" s="404"/>
      <c r="G406" s="40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4.25" customHeight="1">
      <c r="A407" s="26"/>
      <c r="B407" s="67"/>
      <c r="C407" s="6"/>
      <c r="D407" s="69" t="s">
        <v>294</v>
      </c>
      <c r="E407" s="78" t="s">
        <v>1015</v>
      </c>
      <c r="F407" s="404"/>
      <c r="G407" s="40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4.25" customHeight="1">
      <c r="A408" s="26"/>
      <c r="B408" s="103"/>
      <c r="C408" s="6"/>
      <c r="D408" s="98" t="s">
        <v>86</v>
      </c>
      <c r="E408" s="99"/>
      <c r="F408" s="101"/>
      <c r="G408" s="36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4.25" customHeight="1">
      <c r="A409" s="6"/>
      <c r="B409" s="354"/>
      <c r="C409" s="6"/>
      <c r="D409" s="104"/>
      <c r="E409" s="105"/>
      <c r="F409" s="107"/>
      <c r="G409" s="10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4.25" customHeight="1">
      <c r="A410" s="6"/>
      <c r="B410" s="406" t="s">
        <v>1022</v>
      </c>
      <c r="C410" s="6"/>
      <c r="D410" s="104"/>
      <c r="E410" s="105"/>
      <c r="F410" s="107"/>
      <c r="G410" s="109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4.25" customHeight="1">
      <c r="A411" s="6"/>
      <c r="B411" s="407"/>
      <c r="C411" s="6"/>
      <c r="D411" s="104"/>
      <c r="E411" s="105"/>
      <c r="F411" s="107"/>
      <c r="G411" s="109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4.25" customHeight="1">
      <c r="A412" s="11"/>
      <c r="B412" s="171" t="s">
        <v>1031</v>
      </c>
      <c r="C412" s="6"/>
      <c r="D412" s="61" t="s">
        <v>1032</v>
      </c>
      <c r="E412" s="62"/>
      <c r="F412" s="64"/>
      <c r="G412" s="6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4.25" customHeight="1">
      <c r="B413" s="67"/>
      <c r="C413" s="248"/>
      <c r="D413" s="69" t="s">
        <v>1033</v>
      </c>
      <c r="E413" s="70" t="s">
        <v>1034</v>
      </c>
      <c r="F413" s="297"/>
      <c r="G413" s="19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36.0" customHeight="1">
      <c r="B414" s="67"/>
      <c r="C414" s="6"/>
      <c r="D414" s="69" t="s">
        <v>1035</v>
      </c>
      <c r="E414" s="78" t="s">
        <v>1037</v>
      </c>
      <c r="F414" s="73"/>
      <c r="G414" s="35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65.25" customHeight="1">
      <c r="B415" s="67"/>
      <c r="C415" s="6"/>
      <c r="D415" s="69" t="s">
        <v>1038</v>
      </c>
      <c r="E415" s="78" t="s">
        <v>1039</v>
      </c>
      <c r="F415" s="73"/>
      <c r="G415" s="35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4.25" customHeight="1">
      <c r="B416" s="103"/>
      <c r="C416" s="6"/>
      <c r="D416" s="98" t="s">
        <v>86</v>
      </c>
      <c r="E416" s="99"/>
      <c r="F416" s="101"/>
      <c r="G416" s="36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4.25" customHeight="1">
      <c r="B417" s="8"/>
      <c r="C417" s="6"/>
      <c r="D417" s="9"/>
      <c r="E417" s="107"/>
      <c r="F417" s="106"/>
      <c r="G417" s="30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4.25" customHeight="1">
      <c r="B418" s="171" t="s">
        <v>1040</v>
      </c>
      <c r="C418" s="6"/>
      <c r="D418" s="61" t="s">
        <v>1043</v>
      </c>
      <c r="E418" s="62"/>
      <c r="F418" s="64"/>
      <c r="G418" s="6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36.75" customHeight="1">
      <c r="B419" s="67"/>
      <c r="C419" s="6"/>
      <c r="D419" s="69" t="s">
        <v>1044</v>
      </c>
      <c r="E419" s="70" t="s">
        <v>1045</v>
      </c>
      <c r="F419" s="73"/>
      <c r="G419" s="35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39.75" customHeight="1">
      <c r="B420" s="67"/>
      <c r="C420" s="6"/>
      <c r="D420" s="69" t="s">
        <v>1047</v>
      </c>
      <c r="E420" s="78" t="s">
        <v>1048</v>
      </c>
      <c r="F420" s="73"/>
      <c r="G420" s="35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22.5" customHeight="1">
      <c r="B421" s="67"/>
      <c r="C421" s="6"/>
      <c r="D421" s="69" t="s">
        <v>1049</v>
      </c>
      <c r="E421" s="78" t="s">
        <v>1050</v>
      </c>
      <c r="F421" s="73"/>
      <c r="G421" s="35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26.25" customHeight="1">
      <c r="A422" s="6"/>
      <c r="B422" s="67"/>
      <c r="C422" s="6"/>
      <c r="D422" s="69" t="s">
        <v>1051</v>
      </c>
      <c r="E422" s="78" t="s">
        <v>1052</v>
      </c>
      <c r="F422" s="73"/>
      <c r="G422" s="35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4.25" customHeight="1">
      <c r="A423" s="11"/>
      <c r="B423" s="67"/>
      <c r="C423" s="6"/>
      <c r="D423" s="69" t="s">
        <v>1054</v>
      </c>
      <c r="E423" s="78" t="s">
        <v>1055</v>
      </c>
      <c r="F423" s="73"/>
      <c r="G423" s="35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4.25" customHeight="1">
      <c r="B424" s="103"/>
      <c r="C424" s="6"/>
      <c r="D424" s="98" t="s">
        <v>86</v>
      </c>
      <c r="E424" s="99"/>
      <c r="F424" s="401"/>
      <c r="G424" s="36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4.25" customHeight="1">
      <c r="B425" s="8"/>
      <c r="C425" s="6"/>
      <c r="D425" s="9"/>
      <c r="E425" s="107"/>
      <c r="F425" s="106"/>
      <c r="G425" s="3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4.25" customHeight="1">
      <c r="B426" s="171" t="s">
        <v>1058</v>
      </c>
      <c r="C426" s="6"/>
      <c r="D426" s="61" t="s">
        <v>1059</v>
      </c>
      <c r="E426" s="295" t="s">
        <v>1060</v>
      </c>
      <c r="F426" s="64"/>
      <c r="G426" s="6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4.25" customHeight="1">
      <c r="B427" s="103"/>
      <c r="C427" s="6"/>
      <c r="D427" s="98" t="s">
        <v>86</v>
      </c>
      <c r="E427" s="99"/>
      <c r="F427" s="401"/>
      <c r="G427" s="36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4.25" customHeight="1">
      <c r="B428" s="8"/>
      <c r="C428" s="6"/>
      <c r="D428" s="9"/>
      <c r="E428" s="107"/>
      <c r="F428" s="106"/>
      <c r="G428" s="3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8"/>
      <c r="C429" s="6"/>
      <c r="D429" s="9"/>
      <c r="E429" s="107"/>
      <c r="F429" s="106"/>
      <c r="G429" s="3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4.25" customHeight="1">
      <c r="B430" s="412" t="s">
        <v>1063</v>
      </c>
      <c r="C430" s="6"/>
      <c r="D430" s="61" t="s">
        <v>1064</v>
      </c>
      <c r="E430" s="62"/>
      <c r="F430" s="64"/>
      <c r="G430" s="6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39.0" customHeight="1">
      <c r="A431" s="6"/>
      <c r="B431" s="67"/>
      <c r="C431" s="6"/>
      <c r="D431" s="69" t="s">
        <v>1068</v>
      </c>
      <c r="E431" s="70" t="s">
        <v>1069</v>
      </c>
      <c r="F431" s="73"/>
      <c r="G431" s="35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3.5" customHeight="1">
      <c r="A432" s="11"/>
      <c r="B432" s="67"/>
      <c r="C432" s="6"/>
      <c r="D432" s="69" t="s">
        <v>1070</v>
      </c>
      <c r="E432" s="78" t="s">
        <v>1071</v>
      </c>
      <c r="F432" s="73"/>
      <c r="G432" s="35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B433" s="67"/>
      <c r="C433" s="6"/>
      <c r="D433" s="69" t="s">
        <v>1072</v>
      </c>
      <c r="E433" s="78" t="s">
        <v>1073</v>
      </c>
      <c r="F433" s="73"/>
      <c r="G433" s="35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4.25" customHeight="1">
      <c r="B434" s="67"/>
      <c r="C434" s="6"/>
      <c r="D434" s="69" t="s">
        <v>1075</v>
      </c>
      <c r="E434" s="78" t="s">
        <v>1076</v>
      </c>
      <c r="F434" s="73"/>
      <c r="G434" s="35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36.75" customHeight="1">
      <c r="B435" s="67"/>
      <c r="C435" s="6"/>
      <c r="D435" s="69" t="s">
        <v>1077</v>
      </c>
      <c r="E435" s="78" t="s">
        <v>1078</v>
      </c>
      <c r="F435" s="73"/>
      <c r="G435" s="35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51.0" customHeight="1">
      <c r="B436" s="67"/>
      <c r="C436" s="6"/>
      <c r="D436" s="69" t="s">
        <v>1079</v>
      </c>
      <c r="E436" s="78" t="s">
        <v>1080</v>
      </c>
      <c r="F436" s="73"/>
      <c r="G436" s="35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9.5" customHeight="1">
      <c r="B437" s="67"/>
      <c r="C437" s="6"/>
      <c r="D437" s="69" t="s">
        <v>1082</v>
      </c>
      <c r="E437" s="78" t="s">
        <v>1084</v>
      </c>
      <c r="F437" s="73"/>
      <c r="G437" s="35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4.25" customHeight="1">
      <c r="B438" s="67"/>
      <c r="C438" s="6"/>
      <c r="D438" s="69" t="s">
        <v>1085</v>
      </c>
      <c r="E438" s="78" t="s">
        <v>1086</v>
      </c>
      <c r="F438" s="73"/>
      <c r="G438" s="35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4.25" customHeight="1">
      <c r="B439" s="67"/>
      <c r="C439" s="6"/>
      <c r="D439" s="69" t="s">
        <v>1091</v>
      </c>
      <c r="E439" s="78" t="s">
        <v>1092</v>
      </c>
      <c r="F439" s="73"/>
      <c r="G439" s="35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39.0" customHeight="1">
      <c r="B440" s="67"/>
      <c r="C440" s="6"/>
      <c r="D440" s="69" t="s">
        <v>1097</v>
      </c>
      <c r="E440" s="78" t="s">
        <v>1099</v>
      </c>
      <c r="F440" s="73"/>
      <c r="G440" s="35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4.25" customHeight="1">
      <c r="B441" s="67"/>
      <c r="C441" s="6"/>
      <c r="D441" s="69" t="s">
        <v>1103</v>
      </c>
      <c r="E441" s="78" t="s">
        <v>1104</v>
      </c>
      <c r="F441" s="73"/>
      <c r="G441" s="35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4.25" customHeight="1">
      <c r="A442" s="6"/>
      <c r="B442" s="67"/>
      <c r="C442" s="6"/>
      <c r="D442" s="69" t="s">
        <v>1105</v>
      </c>
      <c r="E442" s="78" t="s">
        <v>1106</v>
      </c>
      <c r="F442" s="73"/>
      <c r="G442" s="35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11"/>
      <c r="B443" s="67"/>
      <c r="C443" s="6"/>
      <c r="D443" s="69" t="s">
        <v>1108</v>
      </c>
      <c r="E443" s="78" t="s">
        <v>1109</v>
      </c>
      <c r="F443" s="73"/>
      <c r="G443" s="35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B444" s="67"/>
      <c r="C444" s="6"/>
      <c r="D444" s="69" t="s">
        <v>1110</v>
      </c>
      <c r="E444" s="78" t="s">
        <v>1112</v>
      </c>
      <c r="F444" s="73"/>
      <c r="G444" s="35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B445" s="67"/>
      <c r="C445" s="6"/>
      <c r="D445" s="69" t="s">
        <v>1113</v>
      </c>
      <c r="E445" s="78" t="s">
        <v>1114</v>
      </c>
      <c r="F445" s="73"/>
      <c r="G445" s="35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B446" s="67"/>
      <c r="C446" s="6"/>
      <c r="D446" s="69" t="s">
        <v>1118</v>
      </c>
      <c r="E446" s="78" t="s">
        <v>1048</v>
      </c>
      <c r="F446" s="73"/>
      <c r="G446" s="35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4.25" customHeight="1">
      <c r="B447" s="103"/>
      <c r="C447" s="6"/>
      <c r="D447" s="98" t="s">
        <v>86</v>
      </c>
      <c r="E447" s="99"/>
      <c r="F447" s="101"/>
      <c r="G447" s="36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4.25" customHeight="1">
      <c r="B448" s="8"/>
      <c r="C448" s="6"/>
      <c r="D448" s="9"/>
      <c r="E448" s="107"/>
      <c r="F448" s="106"/>
      <c r="G448" s="3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4.25" customHeight="1">
      <c r="A449" s="6"/>
      <c r="B449" s="171" t="s">
        <v>1126</v>
      </c>
      <c r="C449" s="6"/>
      <c r="D449" s="61" t="s">
        <v>1129</v>
      </c>
      <c r="E449" s="62"/>
      <c r="F449" s="64"/>
      <c r="G449" s="6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3.5" customHeight="1">
      <c r="A450" s="11"/>
      <c r="B450" s="67"/>
      <c r="C450" s="6"/>
      <c r="D450" s="42" t="s">
        <v>1133</v>
      </c>
      <c r="E450" s="70" t="s">
        <v>1135</v>
      </c>
      <c r="F450" s="73"/>
      <c r="G450" s="35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B451" s="67"/>
      <c r="C451" s="6"/>
      <c r="D451" s="69" t="s">
        <v>1138</v>
      </c>
      <c r="E451" s="78" t="s">
        <v>1139</v>
      </c>
      <c r="F451" s="73"/>
      <c r="G451" s="355"/>
      <c r="H451" s="248"/>
      <c r="I451" s="248"/>
      <c r="J451" s="248"/>
      <c r="K451" s="248"/>
      <c r="L451" s="248"/>
      <c r="M451" s="248"/>
      <c r="N451" s="248"/>
      <c r="O451" s="248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  <c r="AA451" s="248"/>
    </row>
    <row r="452" ht="15.75" customHeight="1">
      <c r="B452" s="67"/>
      <c r="C452" s="6"/>
      <c r="D452" s="69" t="s">
        <v>1141</v>
      </c>
      <c r="E452" s="78" t="s">
        <v>1142</v>
      </c>
      <c r="F452" s="73"/>
      <c r="G452" s="35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B453" s="67"/>
      <c r="C453" s="6"/>
      <c r="D453" s="69" t="s">
        <v>1144</v>
      </c>
      <c r="E453" s="78" t="s">
        <v>1146</v>
      </c>
      <c r="F453" s="73"/>
      <c r="G453" s="35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B454" s="67"/>
      <c r="C454" s="6"/>
      <c r="D454" s="69" t="s">
        <v>1147</v>
      </c>
      <c r="E454" s="78" t="s">
        <v>1149</v>
      </c>
      <c r="F454" s="73"/>
      <c r="G454" s="35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B455" s="67"/>
      <c r="C455" s="6"/>
      <c r="D455" s="69" t="s">
        <v>1150</v>
      </c>
      <c r="E455" s="78" t="s">
        <v>1151</v>
      </c>
      <c r="F455" s="73"/>
      <c r="G455" s="35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B456" s="67"/>
      <c r="C456" s="6"/>
      <c r="D456" s="69" t="s">
        <v>1154</v>
      </c>
      <c r="E456" s="78" t="s">
        <v>1155</v>
      </c>
      <c r="F456" s="73"/>
      <c r="G456" s="35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B457" s="67"/>
      <c r="C457" s="6"/>
      <c r="D457" s="69" t="s">
        <v>1157</v>
      </c>
      <c r="E457" s="78" t="s">
        <v>1158</v>
      </c>
      <c r="F457" s="73"/>
      <c r="G457" s="35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4.25" customHeight="1">
      <c r="B458" s="103"/>
      <c r="C458" s="6"/>
      <c r="D458" s="98" t="s">
        <v>86</v>
      </c>
      <c r="E458" s="99"/>
      <c r="F458" s="101"/>
      <c r="G458" s="364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4.25" customHeight="1">
      <c r="B459" s="8"/>
      <c r="C459" s="6"/>
      <c r="D459" s="9"/>
      <c r="E459" s="107"/>
      <c r="F459" s="106"/>
      <c r="G459" s="3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4.25" customHeight="1">
      <c r="A460" s="6"/>
      <c r="B460" s="171" t="s">
        <v>1159</v>
      </c>
      <c r="C460" s="6"/>
      <c r="D460" s="61" t="s">
        <v>1160</v>
      </c>
      <c r="E460" s="62"/>
      <c r="F460" s="64"/>
      <c r="G460" s="6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11"/>
      <c r="B461" s="67"/>
      <c r="C461" s="6"/>
      <c r="D461" s="42" t="s">
        <v>1162</v>
      </c>
      <c r="E461" s="421" t="s">
        <v>1164</v>
      </c>
      <c r="F461" s="73"/>
      <c r="G461" s="35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4.25" customHeight="1">
      <c r="B462" s="67"/>
      <c r="C462" s="6"/>
      <c r="D462" s="69" t="s">
        <v>1165</v>
      </c>
      <c r="E462" s="78" t="s">
        <v>1166</v>
      </c>
      <c r="F462" s="73"/>
      <c r="G462" s="35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4.25" customHeight="1">
      <c r="A463" s="6"/>
      <c r="B463" s="67"/>
      <c r="C463" s="6"/>
      <c r="D463" s="69" t="s">
        <v>1169</v>
      </c>
      <c r="E463" s="78" t="s">
        <v>1170</v>
      </c>
      <c r="F463" s="73"/>
      <c r="G463" s="35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4.25" customHeight="1">
      <c r="A464" s="11"/>
      <c r="B464" s="67"/>
      <c r="C464" s="6"/>
      <c r="D464" s="69" t="s">
        <v>1172</v>
      </c>
      <c r="E464" s="78" t="s">
        <v>1173</v>
      </c>
      <c r="F464" s="73"/>
      <c r="G464" s="35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B465" s="67"/>
      <c r="C465" s="6"/>
      <c r="D465" s="69" t="s">
        <v>1181</v>
      </c>
      <c r="E465" s="78" t="s">
        <v>1182</v>
      </c>
      <c r="F465" s="73"/>
      <c r="G465" s="355"/>
      <c r="H465" s="248"/>
      <c r="I465" s="248"/>
      <c r="J465" s="248"/>
      <c r="K465" s="248"/>
      <c r="L465" s="248"/>
      <c r="M465" s="248"/>
      <c r="N465" s="248"/>
      <c r="O465" s="248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  <c r="AA465" s="248"/>
    </row>
    <row r="466" ht="15.75" customHeight="1">
      <c r="B466" s="67"/>
      <c r="C466" s="6"/>
      <c r="D466" s="69" t="s">
        <v>1184</v>
      </c>
      <c r="E466" s="78" t="s">
        <v>1185</v>
      </c>
      <c r="F466" s="73"/>
      <c r="G466" s="35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B467" s="103"/>
      <c r="C467" s="6"/>
      <c r="D467" s="98" t="s">
        <v>86</v>
      </c>
      <c r="E467" s="99"/>
      <c r="F467" s="101"/>
      <c r="G467" s="364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21.75" customHeight="1">
      <c r="B468" s="8"/>
      <c r="C468" s="6"/>
      <c r="D468" s="9"/>
      <c r="E468" s="107"/>
      <c r="F468" s="106"/>
      <c r="G468" s="3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B469" s="171" t="s">
        <v>1188</v>
      </c>
      <c r="C469" s="6"/>
      <c r="D469" s="61" t="s">
        <v>1189</v>
      </c>
      <c r="E469" s="62"/>
      <c r="F469" s="64"/>
      <c r="G469" s="6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37.5" customHeight="1">
      <c r="B470" s="67"/>
      <c r="C470" s="6"/>
      <c r="D470" s="69" t="s">
        <v>1190</v>
      </c>
      <c r="E470" s="70" t="s">
        <v>1191</v>
      </c>
      <c r="F470" s="73"/>
      <c r="G470" s="35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21.0" customHeight="1">
      <c r="B471" s="67"/>
      <c r="C471" s="6"/>
      <c r="D471" s="69" t="s">
        <v>1193</v>
      </c>
      <c r="E471" s="78" t="s">
        <v>1194</v>
      </c>
      <c r="F471" s="73"/>
      <c r="G471" s="35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26.25" customHeight="1">
      <c r="B472" s="67"/>
      <c r="C472" s="6"/>
      <c r="D472" s="69" t="s">
        <v>1195</v>
      </c>
      <c r="E472" s="78" t="s">
        <v>1196</v>
      </c>
      <c r="F472" s="73"/>
      <c r="G472" s="35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29.25" customHeight="1">
      <c r="B473" s="67"/>
      <c r="C473" s="6"/>
      <c r="D473" s="69" t="s">
        <v>1198</v>
      </c>
      <c r="E473" s="78" t="s">
        <v>1200</v>
      </c>
      <c r="F473" s="73"/>
      <c r="G473" s="35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B474" s="67"/>
      <c r="C474" s="6"/>
      <c r="D474" s="69" t="s">
        <v>1202</v>
      </c>
      <c r="E474" s="78" t="s">
        <v>1203</v>
      </c>
      <c r="F474" s="73"/>
      <c r="G474" s="35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B475" s="67"/>
      <c r="C475" s="6"/>
      <c r="D475" s="69" t="s">
        <v>1206</v>
      </c>
      <c r="E475" s="78" t="s">
        <v>1207</v>
      </c>
      <c r="F475" s="73"/>
      <c r="G475" s="35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B476" s="103"/>
      <c r="C476" s="6"/>
      <c r="D476" s="98" t="s">
        <v>86</v>
      </c>
      <c r="E476" s="99"/>
      <c r="F476" s="101"/>
      <c r="G476" s="364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8.0" customHeight="1">
      <c r="B477" s="8"/>
      <c r="C477" s="6"/>
      <c r="D477" s="9"/>
      <c r="E477" s="107"/>
      <c r="F477" s="106"/>
      <c r="G477" s="30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B478" s="171" t="s">
        <v>1208</v>
      </c>
      <c r="C478" s="6"/>
      <c r="D478" s="61" t="s">
        <v>1209</v>
      </c>
      <c r="E478" s="62"/>
      <c r="F478" s="64"/>
      <c r="G478" s="6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4.25" customHeight="1">
      <c r="A479" s="6"/>
      <c r="B479" s="67"/>
      <c r="C479" s="6"/>
      <c r="D479" s="69" t="s">
        <v>1210</v>
      </c>
      <c r="E479" s="70" t="s">
        <v>1211</v>
      </c>
      <c r="F479" s="73"/>
      <c r="G479" s="35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4.25" customHeight="1">
      <c r="A480" s="11"/>
      <c r="B480" s="67"/>
      <c r="C480" s="6"/>
      <c r="D480" s="69" t="s">
        <v>1213</v>
      </c>
      <c r="E480" s="78" t="s">
        <v>1214</v>
      </c>
      <c r="F480" s="73"/>
      <c r="G480" s="35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B481" s="67"/>
      <c r="C481" s="6"/>
      <c r="D481" s="69" t="s">
        <v>1215</v>
      </c>
      <c r="E481" s="78" t="s">
        <v>1216</v>
      </c>
      <c r="F481" s="73"/>
      <c r="G481" s="35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B482" s="67"/>
      <c r="C482" s="6"/>
      <c r="D482" s="69" t="s">
        <v>1215</v>
      </c>
      <c r="E482" s="78" t="s">
        <v>1219</v>
      </c>
      <c r="F482" s="73"/>
      <c r="G482" s="35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B483" s="67"/>
      <c r="C483" s="6"/>
      <c r="D483" s="69" t="s">
        <v>1222</v>
      </c>
      <c r="E483" s="78" t="s">
        <v>1223</v>
      </c>
      <c r="F483" s="73"/>
      <c r="G483" s="35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4.25" customHeight="1">
      <c r="B484" s="67"/>
      <c r="C484" s="6"/>
      <c r="D484" s="69" t="s">
        <v>1224</v>
      </c>
      <c r="E484" s="78" t="s">
        <v>1225</v>
      </c>
      <c r="F484" s="73"/>
      <c r="G484" s="35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4.25" customHeight="1">
      <c r="A485" s="6"/>
      <c r="B485" s="67"/>
      <c r="C485" s="6"/>
      <c r="D485" s="69" t="s">
        <v>1226</v>
      </c>
      <c r="E485" s="78" t="s">
        <v>1216</v>
      </c>
      <c r="F485" s="73"/>
      <c r="G485" s="35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4.25" customHeight="1">
      <c r="A486" s="11"/>
      <c r="B486" s="67"/>
      <c r="C486" s="6"/>
      <c r="D486" s="69" t="s">
        <v>1227</v>
      </c>
      <c r="E486" s="78" t="s">
        <v>1228</v>
      </c>
      <c r="F486" s="73"/>
      <c r="G486" s="35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B487" s="103"/>
      <c r="C487" s="6"/>
      <c r="D487" s="98" t="s">
        <v>86</v>
      </c>
      <c r="E487" s="99"/>
      <c r="F487" s="101"/>
      <c r="G487" s="364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B488" s="8"/>
      <c r="C488" s="6"/>
      <c r="D488" s="9"/>
      <c r="E488" s="107"/>
      <c r="F488" s="106"/>
      <c r="G488" s="3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B489" s="171" t="s">
        <v>1229</v>
      </c>
      <c r="C489" s="6"/>
      <c r="D489" s="61" t="s">
        <v>1230</v>
      </c>
      <c r="E489" s="62"/>
      <c r="F489" s="64"/>
      <c r="G489" s="6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34.5" customHeight="1">
      <c r="B490" s="67"/>
      <c r="C490" s="6"/>
      <c r="D490" s="69" t="s">
        <v>1231</v>
      </c>
      <c r="E490" s="70" t="s">
        <v>1232</v>
      </c>
      <c r="F490" s="73"/>
      <c r="G490" s="35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26.25" customHeight="1">
      <c r="B491" s="67"/>
      <c r="C491" s="6"/>
      <c r="D491" s="69" t="s">
        <v>1233</v>
      </c>
      <c r="E491" s="78" t="s">
        <v>1234</v>
      </c>
      <c r="F491" s="73"/>
      <c r="G491" s="35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26.25" customHeight="1">
      <c r="B492" s="67"/>
      <c r="C492" s="6"/>
      <c r="D492" s="69" t="s">
        <v>1144</v>
      </c>
      <c r="E492" s="78" t="s">
        <v>1235</v>
      </c>
      <c r="F492" s="73"/>
      <c r="G492" s="35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22.5" customHeight="1">
      <c r="B493" s="67"/>
      <c r="C493" s="6"/>
      <c r="D493" s="69" t="s">
        <v>1147</v>
      </c>
      <c r="E493" s="78" t="s">
        <v>1236</v>
      </c>
      <c r="F493" s="73"/>
      <c r="G493" s="35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B494" s="103"/>
      <c r="C494" s="6"/>
      <c r="D494" s="98" t="s">
        <v>86</v>
      </c>
      <c r="E494" s="99"/>
      <c r="F494" s="101"/>
      <c r="G494" s="36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B495" s="8"/>
      <c r="C495" s="6"/>
      <c r="D495" s="9"/>
      <c r="E495" s="107"/>
      <c r="F495" s="106"/>
      <c r="G495" s="3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B496" s="171" t="s">
        <v>1237</v>
      </c>
      <c r="C496" s="6"/>
      <c r="D496" s="61" t="s">
        <v>1238</v>
      </c>
      <c r="E496" s="62"/>
      <c r="F496" s="64"/>
      <c r="G496" s="6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B497" s="67"/>
      <c r="C497" s="248"/>
      <c r="D497" s="69" t="s">
        <v>1239</v>
      </c>
      <c r="E497" s="70" t="s">
        <v>1240</v>
      </c>
      <c r="F497" s="297"/>
      <c r="G497" s="194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24.0" customHeight="1">
      <c r="B498" s="67"/>
      <c r="C498" s="6"/>
      <c r="D498" s="69" t="s">
        <v>1242</v>
      </c>
      <c r="E498" s="78" t="s">
        <v>1243</v>
      </c>
      <c r="F498" s="73"/>
      <c r="G498" s="35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21.75" customHeight="1">
      <c r="A499" s="6"/>
      <c r="B499" s="67"/>
      <c r="C499" s="6"/>
      <c r="D499" s="69" t="s">
        <v>1244</v>
      </c>
      <c r="E499" s="78" t="s">
        <v>1245</v>
      </c>
      <c r="F499" s="73"/>
      <c r="G499" s="35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22.5" customHeight="1">
      <c r="A500" s="11"/>
      <c r="B500" s="67"/>
      <c r="C500" s="6"/>
      <c r="D500" s="69" t="s">
        <v>1246</v>
      </c>
      <c r="E500" s="78" t="s">
        <v>1247</v>
      </c>
      <c r="F500" s="73"/>
      <c r="G500" s="35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4.25" customHeight="1">
      <c r="B501" s="67"/>
      <c r="C501" s="6"/>
      <c r="D501" s="69" t="s">
        <v>1248</v>
      </c>
      <c r="E501" s="78" t="s">
        <v>1249</v>
      </c>
      <c r="F501" s="73"/>
      <c r="G501" s="35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4.25" customHeight="1">
      <c r="B502" s="67"/>
      <c r="C502" s="6"/>
      <c r="D502" s="69" t="s">
        <v>1250</v>
      </c>
      <c r="E502" s="78" t="s">
        <v>1251</v>
      </c>
      <c r="F502" s="73"/>
      <c r="G502" s="35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4.25" customHeight="1">
      <c r="B503" s="67"/>
      <c r="C503" s="6"/>
      <c r="D503" s="69" t="s">
        <v>1252</v>
      </c>
      <c r="E503" s="78" t="s">
        <v>1253</v>
      </c>
      <c r="F503" s="73"/>
      <c r="G503" s="35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4.25" customHeight="1">
      <c r="B504" s="67"/>
      <c r="C504" s="6"/>
      <c r="D504" s="69" t="s">
        <v>1254</v>
      </c>
      <c r="E504" s="78" t="s">
        <v>1255</v>
      </c>
      <c r="F504" s="73"/>
      <c r="G504" s="35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4.25" customHeight="1">
      <c r="B505" s="103"/>
      <c r="C505" s="6"/>
      <c r="D505" s="98" t="s">
        <v>86</v>
      </c>
      <c r="E505" s="99"/>
      <c r="F505" s="101"/>
      <c r="G505" s="364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4.25" customHeight="1">
      <c r="B506" s="8"/>
      <c r="C506" s="6"/>
      <c r="D506" s="9"/>
      <c r="E506" s="107"/>
      <c r="F506" s="106"/>
      <c r="G506" s="30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44.25" customHeight="1">
      <c r="A507" s="6"/>
      <c r="B507" s="171" t="s">
        <v>1257</v>
      </c>
      <c r="C507" s="6"/>
      <c r="D507" s="428" t="s">
        <v>1260</v>
      </c>
      <c r="E507" s="295" t="s">
        <v>1261</v>
      </c>
      <c r="F507" s="64"/>
      <c r="G507" s="6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4.25" customHeight="1">
      <c r="A508" s="11"/>
      <c r="B508" s="103"/>
      <c r="C508" s="6"/>
      <c r="D508" s="98" t="s">
        <v>86</v>
      </c>
      <c r="E508" s="99"/>
      <c r="F508" s="101"/>
      <c r="G508" s="364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B509" s="8"/>
      <c r="C509" s="6"/>
      <c r="D509" s="9"/>
      <c r="E509" s="107"/>
      <c r="F509" s="106"/>
      <c r="G509" s="3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4.25" customHeight="1">
      <c r="B510" s="171" t="s">
        <v>1269</v>
      </c>
      <c r="C510" s="6"/>
      <c r="D510" s="61" t="s">
        <v>1272</v>
      </c>
      <c r="E510" s="62"/>
      <c r="F510" s="64"/>
      <c r="G510" s="6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4.25" customHeight="1">
      <c r="B511" s="67"/>
      <c r="C511" s="248"/>
      <c r="D511" s="69" t="s">
        <v>1275</v>
      </c>
      <c r="E511" s="70" t="s">
        <v>1276</v>
      </c>
      <c r="F511" s="297"/>
      <c r="G511" s="194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4.25" customHeight="1">
      <c r="B512" s="67"/>
      <c r="C512" s="6"/>
      <c r="D512" s="69" t="s">
        <v>1279</v>
      </c>
      <c r="E512" s="78" t="s">
        <v>1280</v>
      </c>
      <c r="F512" s="73"/>
      <c r="G512" s="35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4.25" customHeight="1">
      <c r="A513" s="6"/>
      <c r="B513" s="67"/>
      <c r="C513" s="6"/>
      <c r="D513" s="69" t="s">
        <v>1286</v>
      </c>
      <c r="E513" s="78" t="s">
        <v>1287</v>
      </c>
      <c r="F513" s="73"/>
      <c r="G513" s="35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21.75" customHeight="1">
      <c r="A514" s="11"/>
      <c r="B514" s="67"/>
      <c r="C514" s="6"/>
      <c r="D514" s="69" t="s">
        <v>1290</v>
      </c>
      <c r="E514" s="78" t="s">
        <v>1291</v>
      </c>
      <c r="F514" s="73"/>
      <c r="G514" s="35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B515" s="67"/>
      <c r="C515" s="6"/>
      <c r="D515" s="69" t="s">
        <v>1294</v>
      </c>
      <c r="E515" s="78" t="s">
        <v>1295</v>
      </c>
      <c r="F515" s="73"/>
      <c r="G515" s="35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B516" s="67"/>
      <c r="C516" s="6"/>
      <c r="D516" s="69" t="s">
        <v>1298</v>
      </c>
      <c r="E516" s="78" t="s">
        <v>1299</v>
      </c>
      <c r="F516" s="73"/>
      <c r="G516" s="35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B517" s="67"/>
      <c r="C517" s="6"/>
      <c r="D517" s="69" t="s">
        <v>1302</v>
      </c>
      <c r="E517" s="78" t="s">
        <v>1303</v>
      </c>
      <c r="F517" s="73"/>
      <c r="G517" s="35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B518" s="67"/>
      <c r="C518" s="6"/>
      <c r="D518" s="69" t="s">
        <v>1304</v>
      </c>
      <c r="E518" s="78" t="s">
        <v>1305</v>
      </c>
      <c r="F518" s="73"/>
      <c r="G518" s="35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B519" s="67"/>
      <c r="C519" s="6"/>
      <c r="D519" s="69" t="s">
        <v>1308</v>
      </c>
      <c r="E519" s="78" t="s">
        <v>1309</v>
      </c>
      <c r="F519" s="73"/>
      <c r="G519" s="35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B520" s="67"/>
      <c r="C520" s="6"/>
      <c r="D520" s="429" t="s">
        <v>1310</v>
      </c>
      <c r="E520" s="78" t="s">
        <v>1312</v>
      </c>
      <c r="F520" s="73"/>
      <c r="G520" s="35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103"/>
      <c r="C521" s="6"/>
      <c r="D521" s="98" t="s">
        <v>86</v>
      </c>
      <c r="E521" s="99"/>
      <c r="F521" s="101"/>
      <c r="G521" s="364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8"/>
      <c r="C522" s="6"/>
      <c r="D522" s="9"/>
      <c r="E522" s="107"/>
      <c r="F522" s="106"/>
      <c r="G522" s="3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171" t="s">
        <v>1316</v>
      </c>
      <c r="C523" s="6"/>
      <c r="D523" s="61" t="s">
        <v>1317</v>
      </c>
      <c r="E523" s="62"/>
      <c r="F523" s="64"/>
      <c r="G523" s="6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39.75" customHeight="1">
      <c r="A524" s="11"/>
      <c r="B524" s="67"/>
      <c r="C524" s="6"/>
      <c r="D524" s="69" t="s">
        <v>1320</v>
      </c>
      <c r="E524" s="70" t="s">
        <v>1321</v>
      </c>
      <c r="F524" s="73"/>
      <c r="G524" s="35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22.5" customHeight="1">
      <c r="B525" s="67"/>
      <c r="C525" s="6"/>
      <c r="D525" s="429" t="s">
        <v>1324</v>
      </c>
      <c r="E525" s="78" t="s">
        <v>1325</v>
      </c>
      <c r="F525" s="73"/>
      <c r="G525" s="35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26.25" customHeight="1">
      <c r="B526" s="67"/>
      <c r="C526" s="6"/>
      <c r="D526" s="429" t="s">
        <v>1328</v>
      </c>
      <c r="E526" s="78" t="s">
        <v>1329</v>
      </c>
      <c r="F526" s="73"/>
      <c r="G526" s="35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B527" s="103"/>
      <c r="C527" s="6"/>
      <c r="D527" s="98" t="s">
        <v>86</v>
      </c>
      <c r="E527" s="99"/>
      <c r="F527" s="101"/>
      <c r="G527" s="364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B528" s="8"/>
      <c r="C528" s="6"/>
      <c r="D528" s="9"/>
      <c r="E528" s="107"/>
      <c r="F528" s="106"/>
      <c r="G528" s="30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B529" s="171" t="s">
        <v>1334</v>
      </c>
      <c r="C529" s="6"/>
      <c r="D529" s="61" t="s">
        <v>1336</v>
      </c>
      <c r="E529" s="62"/>
      <c r="F529" s="64"/>
      <c r="G529" s="6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B530" s="67"/>
      <c r="C530" s="6"/>
      <c r="D530" s="42" t="s">
        <v>1337</v>
      </c>
      <c r="E530" s="70" t="s">
        <v>1338</v>
      </c>
      <c r="F530" s="73"/>
      <c r="G530" s="35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B531" s="67"/>
      <c r="C531" s="6"/>
      <c r="D531" s="429" t="s">
        <v>1339</v>
      </c>
      <c r="E531" s="78" t="s">
        <v>1340</v>
      </c>
      <c r="F531" s="73"/>
      <c r="G531" s="35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B532" s="67"/>
      <c r="C532" s="6"/>
      <c r="D532" s="429" t="s">
        <v>1341</v>
      </c>
      <c r="E532" s="78" t="s">
        <v>1342</v>
      </c>
      <c r="F532" s="73"/>
      <c r="G532" s="35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B533" s="67"/>
      <c r="C533" s="6"/>
      <c r="D533" s="69" t="s">
        <v>1343</v>
      </c>
      <c r="E533" s="78" t="s">
        <v>1344</v>
      </c>
      <c r="F533" s="73"/>
      <c r="G533" s="35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B534" s="67"/>
      <c r="C534" s="6"/>
      <c r="D534" s="69" t="s">
        <v>1345</v>
      </c>
      <c r="E534" s="78" t="s">
        <v>1346</v>
      </c>
      <c r="F534" s="73"/>
      <c r="G534" s="35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4.25" customHeight="1">
      <c r="B535" s="67"/>
      <c r="C535" s="6"/>
      <c r="D535" s="69" t="s">
        <v>1347</v>
      </c>
      <c r="E535" s="78" t="s">
        <v>1348</v>
      </c>
      <c r="F535" s="73"/>
      <c r="G535" s="35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4.25" customHeight="1">
      <c r="A536" s="6"/>
      <c r="B536" s="67"/>
      <c r="C536" s="6"/>
      <c r="D536" s="69" t="s">
        <v>1350</v>
      </c>
      <c r="E536" s="78" t="s">
        <v>1351</v>
      </c>
      <c r="F536" s="73"/>
      <c r="G536" s="35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3.5" customHeight="1">
      <c r="A537" s="11"/>
      <c r="B537" s="67"/>
      <c r="C537" s="6"/>
      <c r="D537" s="69" t="s">
        <v>1352</v>
      </c>
      <c r="E537" s="78" t="s">
        <v>1353</v>
      </c>
      <c r="F537" s="73"/>
      <c r="G537" s="35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3.5" customHeight="1">
      <c r="B538" s="67"/>
      <c r="C538" s="6"/>
      <c r="D538" s="69" t="s">
        <v>1354</v>
      </c>
      <c r="E538" s="78" t="s">
        <v>1355</v>
      </c>
      <c r="F538" s="73"/>
      <c r="G538" s="35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4.25" customHeight="1">
      <c r="B539" s="67"/>
      <c r="C539" s="6"/>
      <c r="D539" s="69" t="s">
        <v>1356</v>
      </c>
      <c r="E539" s="78" t="s">
        <v>1357</v>
      </c>
      <c r="F539" s="73"/>
      <c r="G539" s="35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4.25" customHeight="1">
      <c r="B540" s="67"/>
      <c r="C540" s="6"/>
      <c r="D540" s="69" t="s">
        <v>1328</v>
      </c>
      <c r="E540" s="78" t="s">
        <v>1358</v>
      </c>
      <c r="F540" s="73"/>
      <c r="G540" s="35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4.25" customHeight="1">
      <c r="B541" s="103"/>
      <c r="C541" s="6"/>
      <c r="D541" s="98" t="s">
        <v>86</v>
      </c>
      <c r="E541" s="99"/>
      <c r="F541" s="101"/>
      <c r="G541" s="364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4.25" customHeight="1">
      <c r="B542" s="8"/>
      <c r="C542" s="6"/>
      <c r="D542" s="9"/>
      <c r="E542" s="107"/>
      <c r="F542" s="106"/>
      <c r="G542" s="3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4.25" customHeight="1">
      <c r="A543" s="6"/>
      <c r="B543" s="171" t="s">
        <v>1364</v>
      </c>
      <c r="C543" s="6"/>
      <c r="D543" s="61" t="s">
        <v>1365</v>
      </c>
      <c r="E543" s="62"/>
      <c r="F543" s="64"/>
      <c r="G543" s="6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75.75" customHeight="1">
      <c r="A544" s="11"/>
      <c r="B544" s="67"/>
      <c r="C544" s="6"/>
      <c r="D544" s="69" t="s">
        <v>1366</v>
      </c>
      <c r="E544" s="70" t="s">
        <v>1367</v>
      </c>
      <c r="F544" s="73"/>
      <c r="G544" s="35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9.5" customHeight="1">
      <c r="B545" s="67"/>
      <c r="C545" s="6"/>
      <c r="D545" s="429" t="s">
        <v>1368</v>
      </c>
      <c r="E545" s="78" t="s">
        <v>1369</v>
      </c>
      <c r="F545" s="73"/>
      <c r="G545" s="35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B546" s="67"/>
      <c r="C546" s="6"/>
      <c r="D546" s="429" t="s">
        <v>1370</v>
      </c>
      <c r="E546" s="78" t="s">
        <v>1372</v>
      </c>
      <c r="F546" s="73"/>
      <c r="G546" s="35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4.25" customHeight="1">
      <c r="A547" s="11"/>
      <c r="B547" s="67"/>
      <c r="C547" s="6"/>
      <c r="D547" s="429" t="s">
        <v>1373</v>
      </c>
      <c r="E547" s="78" t="s">
        <v>1374</v>
      </c>
      <c r="F547" s="73"/>
      <c r="G547" s="35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4.25" customHeight="1">
      <c r="A548" s="11"/>
      <c r="B548" s="67"/>
      <c r="C548" s="6"/>
      <c r="D548" s="429" t="s">
        <v>1375</v>
      </c>
      <c r="E548" s="78" t="s">
        <v>1376</v>
      </c>
      <c r="F548" s="73"/>
      <c r="G548" s="35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4.25" customHeight="1">
      <c r="A549" s="11"/>
      <c r="B549" s="67"/>
      <c r="C549" s="6"/>
      <c r="D549" s="429" t="s">
        <v>1377</v>
      </c>
      <c r="E549" s="78" t="s">
        <v>1378</v>
      </c>
      <c r="F549" s="73"/>
      <c r="G549" s="35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4.25" customHeight="1">
      <c r="A550" s="11"/>
      <c r="B550" s="67"/>
      <c r="C550" s="6"/>
      <c r="D550" s="429" t="s">
        <v>1328</v>
      </c>
      <c r="E550" s="78" t="s">
        <v>1379</v>
      </c>
      <c r="F550" s="73"/>
      <c r="G550" s="35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4.25" customHeight="1">
      <c r="A551" s="11"/>
      <c r="B551" s="103"/>
      <c r="C551" s="6"/>
      <c r="D551" s="98" t="s">
        <v>86</v>
      </c>
      <c r="E551" s="99"/>
      <c r="F551" s="101"/>
      <c r="G551" s="364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4.25" customHeight="1">
      <c r="A552" s="11"/>
      <c r="B552" s="8"/>
      <c r="C552" s="6"/>
      <c r="D552" s="9"/>
      <c r="E552" s="107"/>
      <c r="F552" s="106"/>
      <c r="G552" s="30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4.25" customHeight="1">
      <c r="A553" s="11"/>
      <c r="B553" s="171" t="s">
        <v>1380</v>
      </c>
      <c r="C553" s="6"/>
      <c r="D553" s="61" t="s">
        <v>1381</v>
      </c>
      <c r="E553" s="62"/>
      <c r="F553" s="64"/>
      <c r="G553" s="6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4.25" customHeight="1">
      <c r="A554" s="11"/>
      <c r="B554" s="67"/>
      <c r="C554" s="6"/>
      <c r="D554" s="69" t="s">
        <v>1382</v>
      </c>
      <c r="E554" s="70" t="s">
        <v>1383</v>
      </c>
      <c r="F554" s="73"/>
      <c r="G554" s="35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34.5" customHeight="1">
      <c r="A555" s="11"/>
      <c r="B555" s="67"/>
      <c r="C555" s="6"/>
      <c r="D555" s="429" t="s">
        <v>1384</v>
      </c>
      <c r="E555" s="78" t="s">
        <v>1385</v>
      </c>
      <c r="F555" s="73"/>
      <c r="G555" s="35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20.25" customHeight="1">
      <c r="A556" s="11"/>
      <c r="B556" s="67"/>
      <c r="C556" s="6"/>
      <c r="D556" s="429" t="s">
        <v>1328</v>
      </c>
      <c r="E556" s="78" t="s">
        <v>1387</v>
      </c>
      <c r="F556" s="73"/>
      <c r="G556" s="35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4.25" customHeight="1">
      <c r="A557" s="11"/>
      <c r="B557" s="103"/>
      <c r="C557" s="6"/>
      <c r="D557" s="98" t="s">
        <v>86</v>
      </c>
      <c r="E557" s="99"/>
      <c r="F557" s="101"/>
      <c r="G557" s="364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4.25" customHeight="1">
      <c r="A558" s="11"/>
      <c r="B558" s="8"/>
      <c r="C558" s="6"/>
      <c r="D558" s="9"/>
      <c r="E558" s="107"/>
      <c r="F558" s="106"/>
      <c r="G558" s="3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4.25" customHeight="1">
      <c r="A559" s="11"/>
      <c r="B559" s="171" t="s">
        <v>1391</v>
      </c>
      <c r="C559" s="6"/>
      <c r="D559" s="61" t="s">
        <v>1392</v>
      </c>
      <c r="E559" s="62"/>
      <c r="F559" s="64"/>
      <c r="G559" s="6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4.25" customHeight="1">
      <c r="A560" s="11"/>
      <c r="B560" s="67"/>
      <c r="C560" s="6"/>
      <c r="D560" s="69" t="s">
        <v>1396</v>
      </c>
      <c r="E560" s="70" t="s">
        <v>1398</v>
      </c>
      <c r="F560" s="73"/>
      <c r="G560" s="35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4.25" customHeight="1">
      <c r="A561" s="11"/>
      <c r="B561" s="67"/>
      <c r="C561" s="6"/>
      <c r="D561" s="429" t="s">
        <v>1399</v>
      </c>
      <c r="E561" s="78" t="s">
        <v>1400</v>
      </c>
      <c r="F561" s="73"/>
      <c r="G561" s="35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4.25" customHeight="1">
      <c r="A562" s="11"/>
      <c r="B562" s="67"/>
      <c r="C562" s="6"/>
      <c r="D562" s="429" t="s">
        <v>1401</v>
      </c>
      <c r="E562" s="78" t="s">
        <v>1402</v>
      </c>
      <c r="F562" s="73"/>
      <c r="G562" s="35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4.25" customHeight="1">
      <c r="A563" s="11"/>
      <c r="B563" s="67"/>
      <c r="C563" s="6"/>
      <c r="D563" s="429" t="s">
        <v>1403</v>
      </c>
      <c r="E563" s="78" t="s">
        <v>1404</v>
      </c>
      <c r="F563" s="73"/>
      <c r="G563" s="35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4.25" customHeight="1">
      <c r="A564" s="11"/>
      <c r="B564" s="67"/>
      <c r="C564" s="6"/>
      <c r="D564" s="429" t="s">
        <v>1405</v>
      </c>
      <c r="E564" s="78" t="s">
        <v>1406</v>
      </c>
      <c r="F564" s="73"/>
      <c r="G564" s="35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4.25" customHeight="1">
      <c r="A565" s="11"/>
      <c r="B565" s="67"/>
      <c r="C565" s="6"/>
      <c r="D565" s="429" t="s">
        <v>1408</v>
      </c>
      <c r="E565" s="78" t="s">
        <v>1409</v>
      </c>
      <c r="F565" s="73"/>
      <c r="G565" s="35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4.25" customHeight="1">
      <c r="A566" s="11"/>
      <c r="B566" s="67"/>
      <c r="C566" s="6"/>
      <c r="D566" s="429" t="s">
        <v>1410</v>
      </c>
      <c r="E566" s="78" t="s">
        <v>1411</v>
      </c>
      <c r="F566" s="73"/>
      <c r="G566" s="35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4.25" customHeight="1">
      <c r="A567" s="11"/>
      <c r="B567" s="67"/>
      <c r="C567" s="6"/>
      <c r="D567" s="429" t="s">
        <v>1412</v>
      </c>
      <c r="E567" s="78" t="s">
        <v>1413</v>
      </c>
      <c r="F567" s="73"/>
      <c r="G567" s="35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4.25" customHeight="1">
      <c r="A568" s="11"/>
      <c r="B568" s="103"/>
      <c r="C568" s="6"/>
      <c r="D568" s="98" t="s">
        <v>86</v>
      </c>
      <c r="E568" s="99"/>
      <c r="F568" s="101"/>
      <c r="G568" s="364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4.25" customHeight="1">
      <c r="A569" s="11"/>
      <c r="B569" s="6"/>
      <c r="C569" s="6"/>
      <c r="D569" s="104"/>
      <c r="E569" s="105"/>
      <c r="F569" s="107"/>
      <c r="G569" s="109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4.25" customHeight="1">
      <c r="A570" s="11"/>
      <c r="B570" s="442" t="s">
        <v>1414</v>
      </c>
      <c r="C570" s="6"/>
      <c r="D570" s="104"/>
      <c r="E570" s="105"/>
      <c r="F570" s="107"/>
      <c r="G570" s="109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4.25" customHeight="1">
      <c r="A571" s="11"/>
      <c r="B571" s="8"/>
      <c r="C571" s="6"/>
      <c r="D571" s="9"/>
      <c r="E571" s="107"/>
      <c r="F571" s="106"/>
      <c r="G571" s="3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4.25" customHeight="1">
      <c r="A572" s="11"/>
      <c r="B572" s="171" t="s">
        <v>1416</v>
      </c>
      <c r="C572" s="6"/>
      <c r="D572" s="61" t="s">
        <v>1423</v>
      </c>
      <c r="E572" s="62"/>
      <c r="F572" s="64"/>
      <c r="G572" s="6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40.5" customHeight="1">
      <c r="A573" s="11"/>
      <c r="B573" s="67"/>
      <c r="C573" s="6"/>
      <c r="D573" s="69" t="s">
        <v>1426</v>
      </c>
      <c r="E573" s="70" t="s">
        <v>1427</v>
      </c>
      <c r="F573" s="73"/>
      <c r="G573" s="35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33.0" customHeight="1">
      <c r="A574" s="11"/>
      <c r="B574" s="67"/>
      <c r="C574" s="6"/>
      <c r="D574" s="69" t="s">
        <v>1430</v>
      </c>
      <c r="E574" s="78" t="s">
        <v>1431</v>
      </c>
      <c r="F574" s="73"/>
      <c r="G574" s="35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28.5" customHeight="1">
      <c r="A575" s="11"/>
      <c r="B575" s="67"/>
      <c r="C575" s="6"/>
      <c r="D575" s="429" t="s">
        <v>1432</v>
      </c>
      <c r="E575" s="78" t="s">
        <v>1433</v>
      </c>
      <c r="F575" s="73"/>
      <c r="G575" s="35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28.5" customHeight="1">
      <c r="A576" s="11"/>
      <c r="B576" s="67"/>
      <c r="C576" s="6"/>
      <c r="D576" s="429" t="s">
        <v>1434</v>
      </c>
      <c r="E576" s="78"/>
      <c r="F576" s="73"/>
      <c r="G576" s="35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36.0" customHeight="1">
      <c r="A577" s="11"/>
      <c r="B577" s="67"/>
      <c r="C577" s="6"/>
      <c r="D577" s="429" t="s">
        <v>1435</v>
      </c>
      <c r="E577" s="78" t="s">
        <v>1436</v>
      </c>
      <c r="F577" s="73"/>
      <c r="G577" s="35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35.25" customHeight="1">
      <c r="A578" s="11"/>
      <c r="B578" s="67"/>
      <c r="C578" s="6"/>
      <c r="D578" s="429" t="s">
        <v>1437</v>
      </c>
      <c r="E578" s="78" t="s">
        <v>1438</v>
      </c>
      <c r="F578" s="73"/>
      <c r="G578" s="35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28.5" customHeight="1">
      <c r="A579" s="11"/>
      <c r="B579" s="67"/>
      <c r="C579" s="6"/>
      <c r="D579" s="429" t="s">
        <v>1439</v>
      </c>
      <c r="E579" s="78" t="s">
        <v>1440</v>
      </c>
      <c r="F579" s="73"/>
      <c r="G579" s="35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32.25" customHeight="1">
      <c r="A580" s="11"/>
      <c r="B580" s="67"/>
      <c r="C580" s="6"/>
      <c r="D580" s="429" t="s">
        <v>923</v>
      </c>
      <c r="E580" s="78" t="s">
        <v>1441</v>
      </c>
      <c r="F580" s="73"/>
      <c r="G580" s="35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4.25" customHeight="1">
      <c r="A581" s="11"/>
      <c r="B581" s="67"/>
      <c r="C581" s="6"/>
      <c r="D581" s="429" t="s">
        <v>1442</v>
      </c>
      <c r="E581" s="78" t="s">
        <v>1443</v>
      </c>
      <c r="F581" s="73"/>
      <c r="G581" s="35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34.5" customHeight="1">
      <c r="A582" s="11"/>
      <c r="B582" s="67"/>
      <c r="C582" s="6"/>
      <c r="D582" s="429" t="s">
        <v>1444</v>
      </c>
      <c r="E582" s="78" t="s">
        <v>1445</v>
      </c>
      <c r="F582" s="73"/>
      <c r="G582" s="35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27.0" customHeight="1">
      <c r="A583" s="6"/>
      <c r="B583" s="67"/>
      <c r="C583" s="6"/>
      <c r="D583" s="429" t="s">
        <v>1446</v>
      </c>
      <c r="E583" s="78" t="s">
        <v>1447</v>
      </c>
      <c r="F583" s="73"/>
      <c r="G583" s="35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24.0" customHeight="1">
      <c r="A584" s="6"/>
      <c r="B584" s="103"/>
      <c r="C584" s="6"/>
      <c r="D584" s="98" t="s">
        <v>86</v>
      </c>
      <c r="E584" s="99"/>
      <c r="F584" s="101"/>
      <c r="G584" s="36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24.0" customHeight="1">
      <c r="A585" s="6"/>
      <c r="B585" s="6"/>
      <c r="C585" s="6"/>
      <c r="D585" s="104"/>
      <c r="E585" s="105"/>
      <c r="F585" s="107"/>
      <c r="G585" s="109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6.5" customHeight="1">
      <c r="A586" s="6"/>
      <c r="B586" s="446"/>
      <c r="C586" s="6"/>
      <c r="D586" s="61" t="s">
        <v>1450</v>
      </c>
      <c r="E586" s="62"/>
      <c r="F586" s="164"/>
      <c r="G586" s="6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32.25" customHeight="1">
      <c r="A587" s="6"/>
      <c r="B587" s="448" t="s">
        <v>1452</v>
      </c>
      <c r="C587" s="6"/>
      <c r="D587" s="69" t="s">
        <v>1455</v>
      </c>
      <c r="E587" s="70" t="s">
        <v>1456</v>
      </c>
      <c r="F587" s="133"/>
      <c r="G587" s="35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32.25" customHeight="1">
      <c r="A588" s="6"/>
      <c r="B588" s="448"/>
      <c r="C588" s="6"/>
      <c r="D588" s="89" t="s">
        <v>1458</v>
      </c>
      <c r="E588" s="240" t="s">
        <v>1459</v>
      </c>
      <c r="F588" s="151"/>
      <c r="G588" s="40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24.0" customHeight="1">
      <c r="A589" s="6"/>
      <c r="B589" s="450"/>
      <c r="C589" s="6"/>
      <c r="D589" s="98" t="s">
        <v>86</v>
      </c>
      <c r="E589" s="99"/>
      <c r="F589" s="101"/>
      <c r="G589" s="364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4.25" customHeight="1">
      <c r="A590" s="6"/>
      <c r="B590" s="8"/>
      <c r="C590" s="6"/>
      <c r="D590" s="9"/>
      <c r="E590" s="107"/>
      <c r="F590" s="106"/>
      <c r="G590" s="3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4.25" customHeight="1">
      <c r="A591" s="6"/>
      <c r="B591" s="171" t="s">
        <v>1469</v>
      </c>
      <c r="C591" s="6"/>
      <c r="D591" s="61" t="s">
        <v>1470</v>
      </c>
      <c r="E591" s="62"/>
      <c r="F591" s="64"/>
      <c r="G591" s="6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52.5" customHeight="1">
      <c r="A592" s="6"/>
      <c r="B592" s="67"/>
      <c r="C592" s="6"/>
      <c r="D592" s="429" t="s">
        <v>1475</v>
      </c>
      <c r="E592" s="78" t="s">
        <v>1476</v>
      </c>
      <c r="F592" s="73"/>
      <c r="G592" s="35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4.25" customHeight="1">
      <c r="A593" s="6"/>
      <c r="B593" s="67"/>
      <c r="C593" s="6"/>
      <c r="D593" s="69" t="s">
        <v>1478</v>
      </c>
      <c r="E593" s="78" t="s">
        <v>1480</v>
      </c>
      <c r="F593" s="73"/>
      <c r="G593" s="35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4.25" customHeight="1">
      <c r="A594" s="6"/>
      <c r="B594" s="67"/>
      <c r="C594" s="6"/>
      <c r="D594" s="429" t="s">
        <v>1482</v>
      </c>
      <c r="E594" s="78" t="s">
        <v>1484</v>
      </c>
      <c r="F594" s="73"/>
      <c r="G594" s="35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4.25" customHeight="1">
      <c r="A595" s="6"/>
      <c r="B595" s="103"/>
      <c r="C595" s="6"/>
      <c r="D595" s="98" t="s">
        <v>86</v>
      </c>
      <c r="E595" s="99"/>
      <c r="F595" s="101"/>
      <c r="G595" s="364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4.25" customHeight="1">
      <c r="A596" s="6"/>
      <c r="B596" s="8"/>
      <c r="C596" s="6"/>
      <c r="D596" s="9"/>
      <c r="E596" s="107"/>
      <c r="F596" s="106"/>
      <c r="G596" s="3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4.25" customHeight="1">
      <c r="A597" s="6"/>
      <c r="B597" s="171" t="s">
        <v>151</v>
      </c>
      <c r="C597" s="6"/>
      <c r="D597" s="61" t="s">
        <v>152</v>
      </c>
      <c r="E597" s="62"/>
      <c r="F597" s="64"/>
      <c r="G597" s="6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4.25" customHeight="1">
      <c r="A598" s="6"/>
      <c r="B598" s="67"/>
      <c r="C598" s="6"/>
      <c r="D598" s="69" t="s">
        <v>153</v>
      </c>
      <c r="E598" s="70" t="s">
        <v>154</v>
      </c>
      <c r="F598" s="73"/>
      <c r="G598" s="35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4.25" customHeight="1">
      <c r="A599" s="6"/>
      <c r="B599" s="103"/>
      <c r="C599" s="6"/>
      <c r="D599" s="98" t="s">
        <v>86</v>
      </c>
      <c r="E599" s="99"/>
      <c r="F599" s="101"/>
      <c r="G599" s="364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4.25" customHeight="1">
      <c r="A600" s="6"/>
      <c r="B600" s="107"/>
      <c r="C600" s="6"/>
      <c r="D600" s="104"/>
      <c r="E600" s="105"/>
      <c r="F600" s="105"/>
      <c r="G600" s="188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4.25" customHeight="1">
      <c r="A601" s="6"/>
      <c r="B601" s="107"/>
      <c r="C601" s="6"/>
      <c r="D601" s="104"/>
      <c r="E601" s="105"/>
      <c r="F601" s="105"/>
      <c r="G601" s="188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4.25" customHeight="1">
      <c r="A602" s="6"/>
      <c r="B602" s="107"/>
      <c r="C602" s="6"/>
      <c r="D602" s="104"/>
      <c r="E602" s="105"/>
      <c r="F602" s="105"/>
      <c r="G602" s="188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4.25" customHeight="1">
      <c r="A603" s="6"/>
      <c r="B603" s="107"/>
      <c r="C603" s="6"/>
      <c r="D603" s="104"/>
      <c r="E603" s="105"/>
      <c r="F603" s="105"/>
      <c r="G603" s="188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4.25" customHeight="1">
      <c r="A604" s="6"/>
      <c r="B604" s="107"/>
      <c r="C604" s="6"/>
      <c r="D604" s="104"/>
      <c r="E604" s="105"/>
      <c r="F604" s="105"/>
      <c r="G604" s="188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4.25" customHeight="1">
      <c r="A605" s="6"/>
      <c r="B605" s="107"/>
      <c r="C605" s="6"/>
      <c r="D605" s="104"/>
      <c r="E605" s="105"/>
      <c r="F605" s="105"/>
      <c r="G605" s="188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4.25" customHeight="1">
      <c r="A606" s="6"/>
      <c r="B606" s="107"/>
      <c r="C606" s="6"/>
      <c r="D606" s="104"/>
      <c r="E606" s="105"/>
      <c r="F606" s="105"/>
      <c r="G606" s="188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4.25" customHeight="1">
      <c r="A607" s="6"/>
      <c r="B607" s="107"/>
      <c r="C607" s="6"/>
      <c r="D607" s="104"/>
      <c r="E607" s="105"/>
      <c r="F607" s="105"/>
      <c r="G607" s="188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4.25" customHeight="1">
      <c r="A608" s="6"/>
      <c r="B608" s="107"/>
      <c r="C608" s="6"/>
      <c r="D608" s="104"/>
      <c r="E608" s="105"/>
      <c r="F608" s="105"/>
      <c r="G608" s="188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4.25" customHeight="1">
      <c r="A609" s="6"/>
      <c r="B609" s="107"/>
      <c r="C609" s="6"/>
      <c r="D609" s="104"/>
      <c r="E609" s="105"/>
      <c r="F609" s="105"/>
      <c r="G609" s="188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4.25" customHeight="1">
      <c r="A610" s="6"/>
      <c r="B610" s="107"/>
      <c r="C610" s="6"/>
      <c r="D610" s="104"/>
      <c r="E610" s="105"/>
      <c r="F610" s="105"/>
      <c r="G610" s="188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4.25" customHeight="1">
      <c r="A611" s="6"/>
      <c r="B611" s="107"/>
      <c r="C611" s="6"/>
      <c r="D611" s="104"/>
      <c r="E611" s="105"/>
      <c r="F611" s="105"/>
      <c r="G611" s="188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4.25" customHeight="1">
      <c r="A612" s="6"/>
      <c r="B612" s="107"/>
      <c r="C612" s="6"/>
      <c r="D612" s="104"/>
      <c r="E612" s="105"/>
      <c r="F612" s="105"/>
      <c r="G612" s="188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4.25" customHeight="1">
      <c r="A613" s="6"/>
      <c r="B613" s="107"/>
      <c r="C613" s="6"/>
      <c r="D613" s="104"/>
      <c r="E613" s="105"/>
      <c r="F613" s="105"/>
      <c r="G613" s="188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4.25" customHeight="1">
      <c r="A614" s="6"/>
      <c r="B614" s="107"/>
      <c r="C614" s="6"/>
      <c r="D614" s="104"/>
      <c r="E614" s="105"/>
      <c r="F614" s="105"/>
      <c r="G614" s="188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4.25" customHeight="1">
      <c r="A615" s="6"/>
      <c r="B615" s="107"/>
      <c r="C615" s="6"/>
      <c r="D615" s="104"/>
      <c r="E615" s="105"/>
      <c r="F615" s="105"/>
      <c r="G615" s="188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4.25" customHeight="1">
      <c r="A616" s="6"/>
      <c r="B616" s="107"/>
      <c r="C616" s="6"/>
      <c r="D616" s="104"/>
      <c r="E616" s="105"/>
      <c r="F616" s="105"/>
      <c r="G616" s="188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4.25" customHeight="1">
      <c r="A617" s="6"/>
      <c r="B617" s="107"/>
      <c r="C617" s="6"/>
      <c r="D617" s="104"/>
      <c r="E617" s="105"/>
      <c r="F617" s="105"/>
      <c r="G617" s="188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4.25" customHeight="1">
      <c r="A618" s="6"/>
      <c r="B618" s="107"/>
      <c r="C618" s="6"/>
      <c r="D618" s="104"/>
      <c r="E618" s="105"/>
      <c r="F618" s="105"/>
      <c r="G618" s="188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4.25" customHeight="1">
      <c r="A619" s="6"/>
      <c r="B619" s="107"/>
      <c r="C619" s="6"/>
      <c r="D619" s="104"/>
      <c r="E619" s="105"/>
      <c r="F619" s="105"/>
      <c r="G619" s="188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4.25" customHeight="1">
      <c r="A620" s="6"/>
      <c r="B620" s="107"/>
      <c r="C620" s="6"/>
      <c r="D620" s="104"/>
      <c r="E620" s="105"/>
      <c r="F620" s="105"/>
      <c r="G620" s="188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4.25" customHeight="1">
      <c r="A621" s="6"/>
      <c r="B621" s="107"/>
      <c r="C621" s="6"/>
      <c r="D621" s="104"/>
      <c r="E621" s="105"/>
      <c r="F621" s="105"/>
      <c r="G621" s="188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4.25" customHeight="1">
      <c r="A622" s="6"/>
      <c r="B622" s="107"/>
      <c r="C622" s="6"/>
      <c r="D622" s="104"/>
      <c r="E622" s="105"/>
      <c r="F622" s="105"/>
      <c r="G622" s="188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4.25" customHeight="1">
      <c r="A623" s="6"/>
      <c r="B623" s="107"/>
      <c r="C623" s="6"/>
      <c r="D623" s="104"/>
      <c r="E623" s="105"/>
      <c r="F623" s="105"/>
      <c r="G623" s="188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4.25" customHeight="1">
      <c r="A624" s="6"/>
      <c r="B624" s="107"/>
      <c r="C624" s="6"/>
      <c r="D624" s="104"/>
      <c r="E624" s="105"/>
      <c r="F624" s="105"/>
      <c r="G624" s="188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4.25" customHeight="1">
      <c r="A625" s="6"/>
      <c r="B625" s="107"/>
      <c r="C625" s="6"/>
      <c r="D625" s="104"/>
      <c r="E625" s="105"/>
      <c r="F625" s="105"/>
      <c r="G625" s="188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4.25" customHeight="1">
      <c r="A626" s="6"/>
      <c r="B626" s="107"/>
      <c r="C626" s="6"/>
      <c r="D626" s="104"/>
      <c r="E626" s="105"/>
      <c r="F626" s="105"/>
      <c r="G626" s="188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4.25" customHeight="1">
      <c r="A627" s="6"/>
      <c r="B627" s="107"/>
      <c r="C627" s="6"/>
      <c r="D627" s="104"/>
      <c r="E627" s="105"/>
      <c r="F627" s="105"/>
      <c r="G627" s="188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4.25" customHeight="1">
      <c r="A628" s="6"/>
      <c r="B628" s="107"/>
      <c r="C628" s="6"/>
      <c r="D628" s="104"/>
      <c r="E628" s="105"/>
      <c r="F628" s="105"/>
      <c r="G628" s="188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4.25" customHeight="1">
      <c r="A629" s="6"/>
      <c r="B629" s="107"/>
      <c r="C629" s="6"/>
      <c r="D629" s="104"/>
      <c r="E629" s="105"/>
      <c r="F629" s="105"/>
      <c r="G629" s="188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4.25" customHeight="1">
      <c r="A630" s="6"/>
      <c r="B630" s="107"/>
      <c r="C630" s="6"/>
      <c r="D630" s="104"/>
      <c r="E630" s="105"/>
      <c r="F630" s="105"/>
      <c r="G630" s="188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4.25" customHeight="1">
      <c r="A631" s="6"/>
      <c r="B631" s="107"/>
      <c r="C631" s="6"/>
      <c r="D631" s="104"/>
      <c r="E631" s="105"/>
      <c r="F631" s="105"/>
      <c r="G631" s="188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4.25" customHeight="1">
      <c r="A632" s="6"/>
      <c r="B632" s="107"/>
      <c r="C632" s="6"/>
      <c r="D632" s="104"/>
      <c r="E632" s="105"/>
      <c r="F632" s="105"/>
      <c r="G632" s="188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4.25" customHeight="1">
      <c r="A633" s="6"/>
      <c r="B633" s="6"/>
      <c r="C633" s="6"/>
      <c r="D633" s="12"/>
      <c r="E633" s="12"/>
      <c r="F633" s="12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4.25" customHeight="1">
      <c r="A634" s="6"/>
      <c r="B634" s="6"/>
      <c r="C634" s="6"/>
      <c r="D634" s="12"/>
      <c r="E634" s="12"/>
      <c r="F634" s="12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4.25" customHeight="1">
      <c r="A635" s="6"/>
      <c r="B635" s="6"/>
      <c r="C635" s="6"/>
      <c r="D635" s="12"/>
      <c r="E635" s="12"/>
      <c r="F635" s="12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4.25" customHeight="1">
      <c r="A636" s="6"/>
      <c r="B636" s="6"/>
      <c r="C636" s="6"/>
      <c r="D636" s="12"/>
      <c r="E636" s="12"/>
      <c r="F636" s="12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4.25" customHeight="1">
      <c r="A637" s="6"/>
      <c r="B637" s="6"/>
      <c r="C637" s="6"/>
      <c r="D637" s="12"/>
      <c r="E637" s="12"/>
      <c r="F637" s="12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4.25" customHeight="1">
      <c r="A638" s="6"/>
      <c r="B638" s="6"/>
      <c r="C638" s="6"/>
      <c r="D638" s="12"/>
      <c r="E638" s="12"/>
      <c r="F638" s="12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4.25" customHeight="1">
      <c r="A639" s="6"/>
      <c r="B639" s="6"/>
      <c r="C639" s="6"/>
      <c r="D639" s="12"/>
      <c r="E639" s="12"/>
      <c r="F639" s="12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4.25" customHeight="1">
      <c r="A640" s="6"/>
      <c r="B640" s="6"/>
      <c r="C640" s="6"/>
      <c r="D640" s="12"/>
      <c r="E640" s="12"/>
      <c r="F640" s="12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4.25" customHeight="1">
      <c r="A641" s="6"/>
      <c r="B641" s="6"/>
      <c r="C641" s="6"/>
      <c r="D641" s="12"/>
      <c r="E641" s="12"/>
      <c r="F641" s="12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4.25" customHeight="1">
      <c r="A642" s="6"/>
      <c r="B642" s="6"/>
      <c r="C642" s="6"/>
      <c r="D642" s="12"/>
      <c r="E642" s="12"/>
      <c r="F642" s="12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4.25" customHeight="1">
      <c r="A643" s="6"/>
      <c r="B643" s="6"/>
      <c r="C643" s="6"/>
      <c r="D643" s="12"/>
      <c r="E643" s="12"/>
      <c r="F643" s="12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4.25" customHeight="1">
      <c r="A644" s="6"/>
      <c r="B644" s="6"/>
      <c r="C644" s="6"/>
      <c r="D644" s="12"/>
      <c r="E644" s="12"/>
      <c r="F644" s="12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4.25" customHeight="1">
      <c r="A645" s="6"/>
      <c r="B645" s="6"/>
      <c r="C645" s="6"/>
      <c r="D645" s="12"/>
      <c r="E645" s="12"/>
      <c r="F645" s="12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4.25" customHeight="1">
      <c r="A646" s="6"/>
      <c r="B646" s="6"/>
      <c r="C646" s="6"/>
      <c r="D646" s="12"/>
      <c r="E646" s="12"/>
      <c r="F646" s="12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4.25" customHeight="1">
      <c r="A647" s="6"/>
      <c r="B647" s="6"/>
      <c r="C647" s="6"/>
      <c r="D647" s="12"/>
      <c r="E647" s="12"/>
      <c r="F647" s="12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4.25" customHeight="1">
      <c r="A648" s="6"/>
      <c r="B648" s="6"/>
      <c r="C648" s="6"/>
      <c r="D648" s="12"/>
      <c r="E648" s="12"/>
      <c r="F648" s="12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4.25" customHeight="1">
      <c r="A649" s="6"/>
      <c r="B649" s="6"/>
      <c r="C649" s="6"/>
      <c r="D649" s="12"/>
      <c r="E649" s="12"/>
      <c r="F649" s="12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4.25" customHeight="1">
      <c r="A650" s="6"/>
      <c r="B650" s="6"/>
      <c r="C650" s="6"/>
      <c r="D650" s="12"/>
      <c r="E650" s="12"/>
      <c r="F650" s="12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4.25" customHeight="1">
      <c r="A651" s="6"/>
      <c r="B651" s="6"/>
      <c r="C651" s="6"/>
      <c r="D651" s="12"/>
      <c r="E651" s="12"/>
      <c r="F651" s="12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4.25" customHeight="1">
      <c r="A652" s="6"/>
      <c r="B652" s="6"/>
      <c r="C652" s="6"/>
      <c r="D652" s="12"/>
      <c r="E652" s="12"/>
      <c r="F652" s="12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4.25" customHeight="1">
      <c r="A653" s="6"/>
      <c r="B653" s="6"/>
      <c r="C653" s="6"/>
      <c r="D653" s="12"/>
      <c r="E653" s="12"/>
      <c r="F653" s="12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4.25" customHeight="1">
      <c r="A654" s="6"/>
      <c r="B654" s="6"/>
      <c r="C654" s="6"/>
      <c r="D654" s="12"/>
      <c r="E654" s="12"/>
      <c r="F654" s="12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4.25" customHeight="1">
      <c r="A655" s="6"/>
      <c r="B655" s="6"/>
      <c r="C655" s="6"/>
      <c r="D655" s="12"/>
      <c r="E655" s="12"/>
      <c r="F655" s="12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4.25" customHeight="1">
      <c r="A656" s="6"/>
      <c r="B656" s="6"/>
      <c r="C656" s="6"/>
      <c r="D656" s="12"/>
      <c r="E656" s="12"/>
      <c r="F656" s="12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4.25" customHeight="1">
      <c r="A657" s="6"/>
      <c r="B657" s="6"/>
      <c r="C657" s="6"/>
      <c r="D657" s="12"/>
      <c r="E657" s="12"/>
      <c r="F657" s="12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4.25" customHeight="1">
      <c r="A658" s="6"/>
      <c r="B658" s="6"/>
      <c r="C658" s="6"/>
      <c r="D658" s="12"/>
      <c r="E658" s="12"/>
      <c r="F658" s="12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4.25" customHeight="1">
      <c r="A659" s="6"/>
      <c r="B659" s="6"/>
      <c r="C659" s="6"/>
      <c r="D659" s="12"/>
      <c r="E659" s="12"/>
      <c r="F659" s="12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4.25" customHeight="1">
      <c r="A660" s="6"/>
      <c r="B660" s="6"/>
      <c r="C660" s="6"/>
      <c r="D660" s="12"/>
      <c r="E660" s="12"/>
      <c r="F660" s="12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4.25" customHeight="1">
      <c r="A661" s="6"/>
      <c r="B661" s="6"/>
      <c r="C661" s="6"/>
      <c r="D661" s="12"/>
      <c r="E661" s="12"/>
      <c r="F661" s="12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4.25" customHeight="1">
      <c r="A662" s="6"/>
      <c r="B662" s="6"/>
      <c r="C662" s="6"/>
      <c r="D662" s="12"/>
      <c r="E662" s="12"/>
      <c r="F662" s="12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4.25" customHeight="1">
      <c r="A663" s="6"/>
      <c r="B663" s="6"/>
      <c r="C663" s="6"/>
      <c r="D663" s="12"/>
      <c r="E663" s="12"/>
      <c r="F663" s="12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4.25" customHeight="1">
      <c r="A664" s="6"/>
      <c r="B664" s="6"/>
      <c r="C664" s="6"/>
      <c r="D664" s="12"/>
      <c r="E664" s="12"/>
      <c r="F664" s="12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4.25" customHeight="1">
      <c r="A665" s="6"/>
      <c r="B665" s="6"/>
      <c r="C665" s="6"/>
      <c r="D665" s="12"/>
      <c r="E665" s="12"/>
      <c r="F665" s="12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4.25" customHeight="1">
      <c r="A666" s="6"/>
      <c r="B666" s="6"/>
      <c r="C666" s="6"/>
      <c r="D666" s="12"/>
      <c r="E666" s="12"/>
      <c r="F666" s="12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4.25" customHeight="1">
      <c r="A667" s="6"/>
      <c r="B667" s="6"/>
      <c r="C667" s="6"/>
      <c r="D667" s="12"/>
      <c r="E667" s="12"/>
      <c r="F667" s="12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4.25" customHeight="1">
      <c r="A668" s="6"/>
      <c r="B668" s="6"/>
      <c r="C668" s="6"/>
      <c r="D668" s="12"/>
      <c r="E668" s="12"/>
      <c r="F668" s="12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4.25" customHeight="1">
      <c r="A669" s="6"/>
      <c r="B669" s="6"/>
      <c r="C669" s="6"/>
      <c r="D669" s="12"/>
      <c r="E669" s="12"/>
      <c r="F669" s="12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4.25" customHeight="1">
      <c r="A670" s="6"/>
      <c r="B670" s="6"/>
      <c r="C670" s="6"/>
      <c r="D670" s="12"/>
      <c r="E670" s="12"/>
      <c r="F670" s="12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4.25" customHeight="1">
      <c r="A671" s="6"/>
      <c r="B671" s="6"/>
      <c r="C671" s="6"/>
      <c r="D671" s="12"/>
      <c r="E671" s="12"/>
      <c r="F671" s="12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4.25" customHeight="1">
      <c r="A672" s="6"/>
      <c r="B672" s="6"/>
      <c r="C672" s="6"/>
      <c r="D672" s="12"/>
      <c r="E672" s="12"/>
      <c r="F672" s="12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4.25" customHeight="1">
      <c r="A673" s="6"/>
      <c r="B673" s="6"/>
      <c r="C673" s="6"/>
      <c r="D673" s="12"/>
      <c r="E673" s="12"/>
      <c r="F673" s="12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4.25" customHeight="1">
      <c r="A674" s="6"/>
      <c r="B674" s="6"/>
      <c r="C674" s="6"/>
      <c r="D674" s="12"/>
      <c r="E674" s="12"/>
      <c r="F674" s="12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4.25" customHeight="1">
      <c r="A675" s="6"/>
      <c r="B675" s="6"/>
      <c r="C675" s="6"/>
      <c r="D675" s="12"/>
      <c r="E675" s="12"/>
      <c r="F675" s="12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4.25" customHeight="1">
      <c r="A676" s="6"/>
      <c r="B676" s="6"/>
      <c r="C676" s="6"/>
      <c r="D676" s="12"/>
      <c r="E676" s="12"/>
      <c r="F676" s="12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4.25" customHeight="1">
      <c r="A677" s="6"/>
      <c r="B677" s="6"/>
      <c r="C677" s="6"/>
      <c r="D677" s="12"/>
      <c r="E677" s="12"/>
      <c r="F677" s="12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4.25" customHeight="1">
      <c r="A678" s="6"/>
      <c r="B678" s="6"/>
      <c r="C678" s="6"/>
      <c r="D678" s="12"/>
      <c r="E678" s="12"/>
      <c r="F678" s="12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4.25" customHeight="1">
      <c r="A679" s="6"/>
      <c r="B679" s="6"/>
      <c r="C679" s="6"/>
      <c r="D679" s="12"/>
      <c r="E679" s="12"/>
      <c r="F679" s="12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4.25" customHeight="1">
      <c r="A680" s="6"/>
      <c r="B680" s="6"/>
      <c r="C680" s="6"/>
      <c r="D680" s="12"/>
      <c r="E680" s="12"/>
      <c r="F680" s="12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4.25" customHeight="1">
      <c r="A681" s="6"/>
      <c r="B681" s="6"/>
      <c r="C681" s="6"/>
      <c r="D681" s="12"/>
      <c r="E681" s="12"/>
      <c r="F681" s="12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4.25" customHeight="1">
      <c r="A682" s="6"/>
      <c r="B682" s="6"/>
      <c r="C682" s="6"/>
      <c r="D682" s="12"/>
      <c r="E682" s="12"/>
      <c r="F682" s="12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4.25" customHeight="1">
      <c r="A683" s="6"/>
      <c r="B683" s="6"/>
      <c r="C683" s="6"/>
      <c r="D683" s="12"/>
      <c r="E683" s="12"/>
      <c r="F683" s="12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4.25" customHeight="1">
      <c r="A684" s="6"/>
      <c r="B684" s="6"/>
      <c r="C684" s="6"/>
      <c r="D684" s="12"/>
      <c r="E684" s="12"/>
      <c r="F684" s="12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4.25" customHeight="1">
      <c r="A685" s="6"/>
      <c r="B685" s="6"/>
      <c r="C685" s="6"/>
      <c r="D685" s="12"/>
      <c r="E685" s="12"/>
      <c r="F685" s="12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4.25" customHeight="1">
      <c r="A686" s="6"/>
      <c r="B686" s="6"/>
      <c r="C686" s="6"/>
      <c r="D686" s="12"/>
      <c r="E686" s="12"/>
      <c r="F686" s="12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4.25" customHeight="1">
      <c r="A687" s="6"/>
      <c r="B687" s="6"/>
      <c r="C687" s="6"/>
      <c r="D687" s="12"/>
      <c r="E687" s="12"/>
      <c r="F687" s="12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4.25" customHeight="1">
      <c r="A688" s="6"/>
      <c r="B688" s="6"/>
      <c r="C688" s="6"/>
      <c r="D688" s="12"/>
      <c r="E688" s="12"/>
      <c r="F688" s="12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4.25" customHeight="1">
      <c r="A689" s="6"/>
      <c r="B689" s="6"/>
      <c r="C689" s="6"/>
      <c r="D689" s="12"/>
      <c r="E689" s="12"/>
      <c r="F689" s="12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4.25" customHeight="1">
      <c r="A690" s="6"/>
      <c r="B690" s="6"/>
      <c r="C690" s="6"/>
      <c r="D690" s="12"/>
      <c r="E690" s="12"/>
      <c r="F690" s="12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4.25" customHeight="1">
      <c r="A691" s="6"/>
      <c r="B691" s="6"/>
      <c r="C691" s="6"/>
      <c r="D691" s="12"/>
      <c r="E691" s="12"/>
      <c r="F691" s="12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4.25" customHeight="1">
      <c r="A692" s="6"/>
      <c r="B692" s="6"/>
      <c r="C692" s="6"/>
      <c r="D692" s="12"/>
      <c r="E692" s="12"/>
      <c r="F692" s="12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4.25" customHeight="1">
      <c r="A693" s="6"/>
      <c r="B693" s="6"/>
      <c r="C693" s="6"/>
      <c r="D693" s="12"/>
      <c r="E693" s="12"/>
      <c r="F693" s="12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4.25" customHeight="1">
      <c r="A694" s="6"/>
      <c r="B694" s="6"/>
      <c r="C694" s="6"/>
      <c r="D694" s="12"/>
      <c r="E694" s="12"/>
      <c r="F694" s="12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4.25" customHeight="1">
      <c r="A695" s="6"/>
      <c r="B695" s="6"/>
      <c r="C695" s="6"/>
      <c r="D695" s="12"/>
      <c r="E695" s="12"/>
      <c r="F695" s="12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4.25" customHeight="1">
      <c r="A696" s="6"/>
      <c r="B696" s="6"/>
      <c r="C696" s="6"/>
      <c r="D696" s="12"/>
      <c r="E696" s="12"/>
      <c r="F696" s="12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4.25" customHeight="1">
      <c r="A697" s="6"/>
      <c r="B697" s="6"/>
      <c r="C697" s="6"/>
      <c r="D697" s="12"/>
      <c r="E697" s="12"/>
      <c r="F697" s="12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4.25" customHeight="1">
      <c r="A698" s="6"/>
      <c r="B698" s="6"/>
      <c r="C698" s="6"/>
      <c r="D698" s="12"/>
      <c r="E698" s="12"/>
      <c r="F698" s="12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4.25" customHeight="1">
      <c r="A699" s="6"/>
      <c r="B699" s="6"/>
      <c r="C699" s="6"/>
      <c r="D699" s="12"/>
      <c r="E699" s="12"/>
      <c r="F699" s="12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4.25" customHeight="1">
      <c r="A700" s="6"/>
      <c r="B700" s="6"/>
      <c r="C700" s="6"/>
      <c r="D700" s="12"/>
      <c r="E700" s="12"/>
      <c r="F700" s="12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4.25" customHeight="1">
      <c r="A701" s="6"/>
      <c r="B701" s="6"/>
      <c r="C701" s="6"/>
      <c r="D701" s="12"/>
      <c r="E701" s="12"/>
      <c r="F701" s="12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4.25" customHeight="1">
      <c r="A702" s="6"/>
      <c r="B702" s="6"/>
      <c r="C702" s="6"/>
      <c r="D702" s="12"/>
      <c r="E702" s="12"/>
      <c r="F702" s="12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4.25" customHeight="1">
      <c r="A703" s="6"/>
      <c r="B703" s="6"/>
      <c r="C703" s="6"/>
      <c r="D703" s="12"/>
      <c r="E703" s="12"/>
      <c r="F703" s="12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4.25" customHeight="1">
      <c r="A704" s="6"/>
      <c r="B704" s="6"/>
      <c r="C704" s="6"/>
      <c r="D704" s="12"/>
      <c r="E704" s="12"/>
      <c r="F704" s="12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4.25" customHeight="1">
      <c r="A705" s="6"/>
      <c r="B705" s="6"/>
      <c r="C705" s="6"/>
      <c r="D705" s="12"/>
      <c r="E705" s="12"/>
      <c r="F705" s="12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4.25" customHeight="1">
      <c r="A706" s="6"/>
      <c r="B706" s="6"/>
      <c r="C706" s="6"/>
      <c r="D706" s="12"/>
      <c r="E706" s="12"/>
      <c r="F706" s="12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4.25" customHeight="1">
      <c r="A707" s="6"/>
      <c r="B707" s="6"/>
      <c r="C707" s="6"/>
      <c r="D707" s="12"/>
      <c r="E707" s="12"/>
      <c r="F707" s="12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4.25" customHeight="1">
      <c r="A708" s="6"/>
      <c r="B708" s="6"/>
      <c r="C708" s="6"/>
      <c r="D708" s="12"/>
      <c r="E708" s="12"/>
      <c r="F708" s="12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4.25" customHeight="1">
      <c r="A709" s="6"/>
      <c r="B709" s="6"/>
      <c r="C709" s="6"/>
      <c r="D709" s="12"/>
      <c r="E709" s="12"/>
      <c r="F709" s="12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4.25" customHeight="1">
      <c r="A710" s="6"/>
      <c r="B710" s="6"/>
      <c r="C710" s="6"/>
      <c r="D710" s="12"/>
      <c r="E710" s="12"/>
      <c r="F710" s="12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4.25" customHeight="1">
      <c r="A711" s="6"/>
      <c r="B711" s="6"/>
      <c r="C711" s="6"/>
      <c r="D711" s="12"/>
      <c r="E711" s="12"/>
      <c r="F711" s="12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4.25" customHeight="1">
      <c r="A712" s="6"/>
      <c r="B712" s="6"/>
      <c r="C712" s="6"/>
      <c r="D712" s="12"/>
      <c r="E712" s="12"/>
      <c r="F712" s="12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4.25" customHeight="1">
      <c r="A713" s="6"/>
      <c r="B713" s="6"/>
      <c r="C713" s="6"/>
      <c r="D713" s="12"/>
      <c r="E713" s="12"/>
      <c r="F713" s="12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4.25" customHeight="1">
      <c r="A714" s="6"/>
      <c r="B714" s="6"/>
      <c r="C714" s="6"/>
      <c r="D714" s="12"/>
      <c r="E714" s="12"/>
      <c r="F714" s="12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4.25" customHeight="1">
      <c r="A715" s="6"/>
      <c r="B715" s="6"/>
      <c r="C715" s="6"/>
      <c r="D715" s="12"/>
      <c r="E715" s="12"/>
      <c r="F715" s="12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4.25" customHeight="1">
      <c r="A716" s="6"/>
      <c r="B716" s="6"/>
      <c r="C716" s="6"/>
      <c r="D716" s="12"/>
      <c r="E716" s="12"/>
      <c r="F716" s="12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4.25" customHeight="1">
      <c r="A717" s="6"/>
      <c r="B717" s="6"/>
      <c r="C717" s="6"/>
      <c r="D717" s="12"/>
      <c r="E717" s="12"/>
      <c r="F717" s="12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4.25" customHeight="1">
      <c r="A718" s="6"/>
      <c r="B718" s="6"/>
      <c r="C718" s="6"/>
      <c r="D718" s="12"/>
      <c r="E718" s="12"/>
      <c r="F718" s="12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4.25" customHeight="1">
      <c r="A719" s="6"/>
      <c r="B719" s="6"/>
      <c r="C719" s="6"/>
      <c r="D719" s="12"/>
      <c r="E719" s="12"/>
      <c r="F719" s="12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4.25" customHeight="1">
      <c r="A720" s="6"/>
      <c r="B720" s="6"/>
      <c r="C720" s="6"/>
      <c r="D720" s="12"/>
      <c r="E720" s="12"/>
      <c r="F720" s="12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4.25" customHeight="1">
      <c r="A721" s="6"/>
      <c r="B721" s="6"/>
      <c r="C721" s="6"/>
      <c r="D721" s="12"/>
      <c r="E721" s="12"/>
      <c r="F721" s="12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4.25" customHeight="1">
      <c r="A722" s="6"/>
      <c r="B722" s="6"/>
      <c r="C722" s="6"/>
      <c r="D722" s="12"/>
      <c r="E722" s="12"/>
      <c r="F722" s="12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4.25" customHeight="1">
      <c r="A723" s="6"/>
      <c r="B723" s="6"/>
      <c r="C723" s="6"/>
      <c r="D723" s="12"/>
      <c r="E723" s="12"/>
      <c r="F723" s="12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4.25" customHeight="1">
      <c r="A724" s="6"/>
      <c r="B724" s="6"/>
      <c r="C724" s="6"/>
      <c r="D724" s="12"/>
      <c r="E724" s="12"/>
      <c r="F724" s="12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4.25" customHeight="1">
      <c r="A725" s="6"/>
      <c r="B725" s="6"/>
      <c r="C725" s="6"/>
      <c r="D725" s="12"/>
      <c r="E725" s="12"/>
      <c r="F725" s="12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4.25" customHeight="1">
      <c r="A726" s="6"/>
      <c r="B726" s="6"/>
      <c r="C726" s="6"/>
      <c r="D726" s="12"/>
      <c r="E726" s="12"/>
      <c r="F726" s="12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4.25" customHeight="1">
      <c r="A727" s="6"/>
      <c r="B727" s="6"/>
      <c r="C727" s="6"/>
      <c r="D727" s="12"/>
      <c r="E727" s="12"/>
      <c r="F727" s="12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4.25" customHeight="1">
      <c r="A728" s="6"/>
      <c r="B728" s="6"/>
      <c r="C728" s="6"/>
      <c r="D728" s="12"/>
      <c r="E728" s="12"/>
      <c r="F728" s="12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4.25" customHeight="1">
      <c r="A729" s="6"/>
      <c r="B729" s="6"/>
      <c r="C729" s="6"/>
      <c r="D729" s="12"/>
      <c r="E729" s="12"/>
      <c r="F729" s="12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4.25" customHeight="1">
      <c r="A730" s="6"/>
      <c r="B730" s="6"/>
      <c r="C730" s="6"/>
      <c r="D730" s="12"/>
      <c r="E730" s="12"/>
      <c r="F730" s="12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4.25" customHeight="1">
      <c r="A731" s="6"/>
      <c r="B731" s="6"/>
      <c r="C731" s="6"/>
      <c r="D731" s="12"/>
      <c r="E731" s="12"/>
      <c r="F731" s="12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4.25" customHeight="1">
      <c r="A732" s="6"/>
      <c r="B732" s="6"/>
      <c r="C732" s="6"/>
      <c r="D732" s="12"/>
      <c r="E732" s="12"/>
      <c r="F732" s="12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4.25" customHeight="1">
      <c r="A733" s="6"/>
      <c r="B733" s="6"/>
      <c r="C733" s="6"/>
      <c r="D733" s="12"/>
      <c r="E733" s="12"/>
      <c r="F733" s="12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4.25" customHeight="1">
      <c r="A734" s="6"/>
      <c r="B734" s="6"/>
      <c r="C734" s="6"/>
      <c r="D734" s="12"/>
      <c r="E734" s="12"/>
      <c r="F734" s="12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4.25" customHeight="1">
      <c r="A735" s="6"/>
      <c r="B735" s="6"/>
      <c r="C735" s="6"/>
      <c r="D735" s="12"/>
      <c r="E735" s="12"/>
      <c r="F735" s="12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4.25" customHeight="1">
      <c r="A736" s="6"/>
      <c r="B736" s="6"/>
      <c r="C736" s="6"/>
      <c r="D736" s="12"/>
      <c r="E736" s="12"/>
      <c r="F736" s="12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4.25" customHeight="1">
      <c r="A737" s="6"/>
      <c r="B737" s="6"/>
      <c r="C737" s="6"/>
      <c r="D737" s="12"/>
      <c r="E737" s="12"/>
      <c r="F737" s="12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4.25" customHeight="1">
      <c r="A738" s="6"/>
      <c r="B738" s="6"/>
      <c r="C738" s="6"/>
      <c r="D738" s="12"/>
      <c r="E738" s="12"/>
      <c r="F738" s="12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4.25" customHeight="1">
      <c r="A739" s="6"/>
      <c r="B739" s="6"/>
      <c r="C739" s="6"/>
      <c r="D739" s="12"/>
      <c r="E739" s="12"/>
      <c r="F739" s="12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4.25" customHeight="1">
      <c r="A740" s="6"/>
      <c r="B740" s="6"/>
      <c r="C740" s="6"/>
      <c r="D740" s="12"/>
      <c r="E740" s="12"/>
      <c r="F740" s="12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4.25" customHeight="1">
      <c r="A741" s="6"/>
      <c r="B741" s="6"/>
      <c r="C741" s="6"/>
      <c r="D741" s="12"/>
      <c r="E741" s="12"/>
      <c r="F741" s="12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4.25" customHeight="1">
      <c r="A742" s="6"/>
      <c r="B742" s="6"/>
      <c r="C742" s="6"/>
      <c r="D742" s="12"/>
      <c r="E742" s="12"/>
      <c r="F742" s="12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4.25" customHeight="1">
      <c r="A743" s="6"/>
      <c r="B743" s="6"/>
      <c r="C743" s="6"/>
      <c r="D743" s="12"/>
      <c r="E743" s="12"/>
      <c r="F743" s="12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4.25" customHeight="1">
      <c r="A744" s="6"/>
      <c r="B744" s="6"/>
      <c r="C744" s="6"/>
      <c r="D744" s="12"/>
      <c r="E744" s="12"/>
      <c r="F744" s="12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4.25" customHeight="1">
      <c r="A745" s="6"/>
      <c r="B745" s="6"/>
      <c r="C745" s="6"/>
      <c r="D745" s="12"/>
      <c r="E745" s="12"/>
      <c r="F745" s="12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4.25" customHeight="1">
      <c r="A746" s="6"/>
      <c r="B746" s="6"/>
      <c r="C746" s="6"/>
      <c r="D746" s="12"/>
      <c r="E746" s="12"/>
      <c r="F746" s="12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4.25" customHeight="1">
      <c r="A747" s="6"/>
      <c r="B747" s="6"/>
      <c r="C747" s="6"/>
      <c r="D747" s="12"/>
      <c r="E747" s="12"/>
      <c r="F747" s="12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4.25" customHeight="1">
      <c r="A748" s="6"/>
      <c r="B748" s="6"/>
      <c r="C748" s="6"/>
      <c r="D748" s="12"/>
      <c r="E748" s="12"/>
      <c r="F748" s="12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4.25" customHeight="1">
      <c r="A749" s="6"/>
      <c r="B749" s="6"/>
      <c r="C749" s="6"/>
      <c r="D749" s="12"/>
      <c r="E749" s="12"/>
      <c r="F749" s="12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4.25" customHeight="1">
      <c r="A750" s="6"/>
      <c r="B750" s="6"/>
      <c r="C750" s="6"/>
      <c r="D750" s="12"/>
      <c r="E750" s="12"/>
      <c r="F750" s="12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4.25" customHeight="1">
      <c r="A751" s="6"/>
      <c r="B751" s="6"/>
      <c r="C751" s="6"/>
      <c r="D751" s="12"/>
      <c r="E751" s="12"/>
      <c r="F751" s="12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4.25" customHeight="1">
      <c r="A752" s="6"/>
      <c r="B752" s="6"/>
      <c r="C752" s="6"/>
      <c r="D752" s="12"/>
      <c r="E752" s="12"/>
      <c r="F752" s="12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4.25" customHeight="1">
      <c r="A753" s="6"/>
      <c r="B753" s="6"/>
      <c r="C753" s="6"/>
      <c r="D753" s="12"/>
      <c r="E753" s="12"/>
      <c r="F753" s="12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4.25" customHeight="1">
      <c r="A754" s="6"/>
      <c r="B754" s="6"/>
      <c r="C754" s="6"/>
      <c r="D754" s="12"/>
      <c r="E754" s="12"/>
      <c r="F754" s="12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4.25" customHeight="1">
      <c r="A755" s="6"/>
      <c r="B755" s="6"/>
      <c r="C755" s="6"/>
      <c r="D755" s="12"/>
      <c r="E755" s="12"/>
      <c r="F755" s="12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4.25" customHeight="1">
      <c r="A756" s="6"/>
      <c r="B756" s="6"/>
      <c r="C756" s="6"/>
      <c r="D756" s="12"/>
      <c r="E756" s="12"/>
      <c r="F756" s="12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4.25" customHeight="1">
      <c r="A757" s="6"/>
      <c r="B757" s="6"/>
      <c r="C757" s="6"/>
      <c r="D757" s="12"/>
      <c r="E757" s="12"/>
      <c r="F757" s="12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4.25" customHeight="1">
      <c r="A758" s="6"/>
      <c r="B758" s="6"/>
      <c r="C758" s="6"/>
      <c r="D758" s="12"/>
      <c r="E758" s="12"/>
      <c r="F758" s="12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4.25" customHeight="1">
      <c r="A759" s="6"/>
      <c r="B759" s="6"/>
      <c r="C759" s="6"/>
      <c r="D759" s="12"/>
      <c r="E759" s="12"/>
      <c r="F759" s="12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4.25" customHeight="1">
      <c r="A760" s="6"/>
      <c r="B760" s="6"/>
      <c r="C760" s="6"/>
      <c r="D760" s="12"/>
      <c r="E760" s="12"/>
      <c r="F760" s="12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4.25" customHeight="1">
      <c r="A761" s="6"/>
      <c r="B761" s="6"/>
      <c r="C761" s="6"/>
      <c r="D761" s="12"/>
      <c r="E761" s="12"/>
      <c r="F761" s="12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4.25" customHeight="1">
      <c r="A762" s="6"/>
      <c r="B762" s="6"/>
      <c r="C762" s="6"/>
      <c r="D762" s="12"/>
      <c r="E762" s="12"/>
      <c r="F762" s="12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4.25" customHeight="1">
      <c r="A763" s="6"/>
      <c r="B763" s="6"/>
      <c r="C763" s="6"/>
      <c r="D763" s="12"/>
      <c r="E763" s="12"/>
      <c r="F763" s="12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4.25" customHeight="1">
      <c r="A764" s="6"/>
      <c r="B764" s="6"/>
      <c r="C764" s="6"/>
      <c r="D764" s="12"/>
      <c r="E764" s="12"/>
      <c r="F764" s="12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4.25" customHeight="1">
      <c r="A765" s="6"/>
      <c r="B765" s="6"/>
      <c r="C765" s="6"/>
      <c r="D765" s="12"/>
      <c r="E765" s="12"/>
      <c r="F765" s="12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4.25" customHeight="1">
      <c r="A766" s="6"/>
      <c r="B766" s="6"/>
      <c r="C766" s="6"/>
      <c r="D766" s="12"/>
      <c r="E766" s="12"/>
      <c r="F766" s="12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4.25" customHeight="1">
      <c r="A767" s="6"/>
      <c r="B767" s="6"/>
      <c r="C767" s="6"/>
      <c r="D767" s="12"/>
      <c r="E767" s="12"/>
      <c r="F767" s="12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4.25" customHeight="1">
      <c r="A768" s="6"/>
      <c r="B768" s="6"/>
      <c r="C768" s="6"/>
      <c r="D768" s="12"/>
      <c r="E768" s="12"/>
      <c r="F768" s="12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4.25" customHeight="1">
      <c r="A769" s="6"/>
      <c r="B769" s="6"/>
      <c r="C769" s="6"/>
      <c r="D769" s="12"/>
      <c r="E769" s="12"/>
      <c r="F769" s="12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4.25" customHeight="1">
      <c r="A770" s="6"/>
      <c r="B770" s="6"/>
      <c r="C770" s="6"/>
      <c r="D770" s="12"/>
      <c r="E770" s="12"/>
      <c r="F770" s="12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4.25" customHeight="1">
      <c r="A771" s="6"/>
      <c r="B771" s="6"/>
      <c r="C771" s="6"/>
      <c r="D771" s="12"/>
      <c r="E771" s="12"/>
      <c r="F771" s="12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4.25" customHeight="1">
      <c r="A772" s="6"/>
      <c r="B772" s="6"/>
      <c r="C772" s="6"/>
      <c r="D772" s="12"/>
      <c r="E772" s="12"/>
      <c r="F772" s="12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4.25" customHeight="1">
      <c r="A773" s="6"/>
      <c r="B773" s="6"/>
      <c r="C773" s="6"/>
      <c r="D773" s="12"/>
      <c r="E773" s="12"/>
      <c r="F773" s="12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4.25" customHeight="1">
      <c r="A774" s="6"/>
      <c r="B774" s="6"/>
      <c r="C774" s="6"/>
      <c r="D774" s="12"/>
      <c r="E774" s="12"/>
      <c r="F774" s="12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4.25" customHeight="1">
      <c r="A775" s="6"/>
      <c r="B775" s="6"/>
      <c r="C775" s="6"/>
      <c r="D775" s="12"/>
      <c r="E775" s="12"/>
      <c r="F775" s="12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4.25" customHeight="1">
      <c r="A776" s="6"/>
      <c r="B776" s="6"/>
      <c r="C776" s="6"/>
      <c r="D776" s="12"/>
      <c r="E776" s="12"/>
      <c r="F776" s="12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4.25" customHeight="1">
      <c r="A777" s="6"/>
      <c r="B777" s="6"/>
      <c r="C777" s="6"/>
      <c r="D777" s="12"/>
      <c r="E777" s="12"/>
      <c r="F777" s="12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4.25" customHeight="1">
      <c r="A778" s="6"/>
      <c r="B778" s="6"/>
      <c r="C778" s="6"/>
      <c r="D778" s="12"/>
      <c r="E778" s="12"/>
      <c r="F778" s="12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4.25" customHeight="1">
      <c r="A779" s="6"/>
      <c r="B779" s="6"/>
      <c r="C779" s="6"/>
      <c r="D779" s="12"/>
      <c r="E779" s="12"/>
      <c r="F779" s="12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4.25" customHeight="1">
      <c r="A780" s="6"/>
      <c r="B780" s="6"/>
      <c r="C780" s="6"/>
      <c r="D780" s="12"/>
      <c r="E780" s="12"/>
      <c r="F780" s="12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4.25" customHeight="1">
      <c r="A781" s="6"/>
      <c r="B781" s="6"/>
      <c r="C781" s="6"/>
      <c r="D781" s="12"/>
      <c r="E781" s="12"/>
      <c r="F781" s="12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4.25" customHeight="1">
      <c r="A782" s="6"/>
      <c r="B782" s="6"/>
      <c r="C782" s="6"/>
      <c r="D782" s="12"/>
      <c r="E782" s="12"/>
      <c r="F782" s="12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4.25" customHeight="1">
      <c r="A783" s="6"/>
      <c r="B783" s="6"/>
      <c r="C783" s="6"/>
      <c r="D783" s="12"/>
      <c r="E783" s="12"/>
      <c r="F783" s="12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4.25" customHeight="1">
      <c r="A784" s="6"/>
      <c r="B784" s="6"/>
      <c r="C784" s="6"/>
      <c r="D784" s="12"/>
      <c r="E784" s="12"/>
      <c r="F784" s="12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4.25" customHeight="1">
      <c r="A785" s="6"/>
      <c r="B785" s="6"/>
      <c r="C785" s="6"/>
      <c r="D785" s="12"/>
      <c r="E785" s="12"/>
      <c r="F785" s="12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4.25" customHeight="1">
      <c r="A786" s="6"/>
      <c r="B786" s="6"/>
      <c r="C786" s="6"/>
      <c r="D786" s="12"/>
      <c r="E786" s="12"/>
      <c r="F786" s="12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4.25" customHeight="1">
      <c r="A787" s="6"/>
      <c r="B787" s="6"/>
      <c r="C787" s="6"/>
      <c r="D787" s="12"/>
      <c r="E787" s="12"/>
      <c r="F787" s="12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4.25" customHeight="1">
      <c r="A788" s="6"/>
      <c r="B788" s="6"/>
      <c r="C788" s="6"/>
      <c r="D788" s="12"/>
      <c r="E788" s="12"/>
      <c r="F788" s="12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4.25" customHeight="1">
      <c r="A789" s="6"/>
      <c r="B789" s="6"/>
      <c r="C789" s="6"/>
      <c r="D789" s="12"/>
      <c r="E789" s="12"/>
      <c r="F789" s="12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4.25" customHeight="1">
      <c r="A790" s="6"/>
      <c r="B790" s="6"/>
      <c r="C790" s="6"/>
      <c r="D790" s="12"/>
      <c r="E790" s="12"/>
      <c r="F790" s="12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4.25" customHeight="1">
      <c r="A791" s="6"/>
      <c r="B791" s="6"/>
      <c r="C791" s="6"/>
      <c r="D791" s="12"/>
      <c r="E791" s="12"/>
      <c r="F791" s="12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4.25" customHeight="1">
      <c r="A792" s="6"/>
      <c r="B792" s="6"/>
      <c r="C792" s="6"/>
      <c r="D792" s="12"/>
      <c r="E792" s="12"/>
      <c r="F792" s="12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4.25" customHeight="1">
      <c r="A793" s="6"/>
      <c r="B793" s="6"/>
      <c r="C793" s="6"/>
      <c r="D793" s="12"/>
      <c r="E793" s="12"/>
      <c r="F793" s="12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4.25" customHeight="1">
      <c r="A794" s="6"/>
      <c r="B794" s="6"/>
      <c r="C794" s="6"/>
      <c r="D794" s="12"/>
      <c r="E794" s="12"/>
      <c r="F794" s="12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4.25" customHeight="1">
      <c r="A795" s="6"/>
      <c r="B795" s="6"/>
      <c r="C795" s="6"/>
      <c r="D795" s="12"/>
      <c r="E795" s="12"/>
      <c r="F795" s="12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4.25" customHeight="1">
      <c r="A796" s="6"/>
      <c r="B796" s="6"/>
      <c r="C796" s="6"/>
      <c r="D796" s="12"/>
      <c r="E796" s="12"/>
      <c r="F796" s="12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4.25" customHeight="1">
      <c r="A797" s="6"/>
      <c r="B797" s="6"/>
      <c r="C797" s="6"/>
      <c r="D797" s="12"/>
      <c r="E797" s="12"/>
      <c r="F797" s="12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4.25" customHeight="1">
      <c r="A798" s="6"/>
      <c r="B798" s="6"/>
      <c r="C798" s="6"/>
      <c r="D798" s="12"/>
      <c r="E798" s="12"/>
      <c r="F798" s="12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4.25" customHeight="1">
      <c r="A799" s="6"/>
      <c r="B799" s="6"/>
      <c r="C799" s="6"/>
      <c r="D799" s="12"/>
      <c r="E799" s="12"/>
      <c r="F799" s="12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480:A484"/>
    <mergeCell ref="A486:A498"/>
    <mergeCell ref="A500:A506"/>
    <mergeCell ref="A508:A512"/>
    <mergeCell ref="A514:A520"/>
    <mergeCell ref="A524:A535"/>
    <mergeCell ref="A537:A542"/>
    <mergeCell ref="A544:A546"/>
    <mergeCell ref="B430:B447"/>
    <mergeCell ref="A432:A441"/>
    <mergeCell ref="A443:A448"/>
    <mergeCell ref="B449:B458"/>
    <mergeCell ref="A450:A459"/>
    <mergeCell ref="A461:A462"/>
    <mergeCell ref="A464:A478"/>
    <mergeCell ref="B523:B527"/>
    <mergeCell ref="B529:B541"/>
    <mergeCell ref="B543:B551"/>
    <mergeCell ref="B553:B557"/>
    <mergeCell ref="B559:B568"/>
    <mergeCell ref="B572:B584"/>
    <mergeCell ref="B591:B595"/>
    <mergeCell ref="B597:B599"/>
    <mergeCell ref="B460:B467"/>
    <mergeCell ref="B469:B476"/>
    <mergeCell ref="B478:B487"/>
    <mergeCell ref="B489:B494"/>
    <mergeCell ref="B496:B505"/>
    <mergeCell ref="B507:B508"/>
    <mergeCell ref="B510:B521"/>
    <mergeCell ref="D3:F3"/>
    <mergeCell ref="C31:C33"/>
    <mergeCell ref="A32:A35"/>
    <mergeCell ref="C35:C41"/>
    <mergeCell ref="A37:A39"/>
    <mergeCell ref="A42:A44"/>
    <mergeCell ref="A46:A50"/>
    <mergeCell ref="C43:C49"/>
    <mergeCell ref="C51:C57"/>
    <mergeCell ref="F65:F66"/>
    <mergeCell ref="F111:F112"/>
    <mergeCell ref="B141:B223"/>
    <mergeCell ref="B237:B240"/>
    <mergeCell ref="B244:B247"/>
    <mergeCell ref="B298:B327"/>
    <mergeCell ref="B331:B342"/>
    <mergeCell ref="B347:B354"/>
    <mergeCell ref="B249:B251"/>
    <mergeCell ref="B254:B256"/>
    <mergeCell ref="B258:B262"/>
    <mergeCell ref="A264:A267"/>
    <mergeCell ref="B266:B294"/>
    <mergeCell ref="A269:A276"/>
    <mergeCell ref="A331:A338"/>
    <mergeCell ref="A342:A346"/>
    <mergeCell ref="B345:B346"/>
    <mergeCell ref="A348:A354"/>
    <mergeCell ref="A356:A357"/>
    <mergeCell ref="B357:B360"/>
    <mergeCell ref="A359:A367"/>
    <mergeCell ref="B362:B376"/>
    <mergeCell ref="A423:A428"/>
    <mergeCell ref="A429:A430"/>
    <mergeCell ref="B379:B382"/>
    <mergeCell ref="B384:B408"/>
    <mergeCell ref="B410:B411"/>
    <mergeCell ref="A412:A421"/>
    <mergeCell ref="B412:B416"/>
    <mergeCell ref="B418:B424"/>
    <mergeCell ref="B426:B427"/>
  </mergeCells>
  <dataValidations>
    <dataValidation type="list" allowBlank="1" showErrorMessage="1" sqref="G29:G30 G32 G75:G76 G78">
      <formula1>"Pass,Fail,Update required,Not implemented,Not tested,Bug noticed"</formula1>
    </dataValidation>
    <dataValidation type="list" allowBlank="1" showErrorMessage="1" sqref="C237:C239">
      <formula1>"Pass"</formula1>
    </dataValidation>
    <dataValidation type="list" allowBlank="1" showErrorMessage="1" sqref="F154:F166 G167 F168:F173">
      <formula1>"Pass,Fail,Feature Update,Not Tested"</formula1>
    </dataValidation>
    <dataValidation type="list" allowBlank="1" showErrorMessage="1" sqref="F121:F139 F141:F152 G153 F174:F195 F197:F200 F202:F206 F208:F211 F213:F235 J225:J235">
      <formula1>"Pass,Fail,Feature Update,Not Tested,Not Implemented"</formula1>
    </dataValidation>
    <dataValidation type="list" allowBlank="1" showErrorMessage="1" sqref="F30:F40 F42:F48 F50 F52:F56 F58 F60:F64 F67 F69:F78 F80:F86 F88:F94 F96 F98:F102 F104 F106:F110 F113 J75:J119 F115:F120 J121:J139 F140 J147:J151 C240 F236:F241 F244:F247 F249:F251 F254:F256 F258:F263 J304:J307 J324:J327 F266:F329 F331:F342 F345:F360 F362:F379 F383:F416 F418:F424 F426:F427 F430:F447 F449:F458 F460:F467 F469:F476 F478:F487 F489:F494 F496:F505 F507:F508 F510:F521 F523:F527 F529:F541 F543:F551 F553:F557 F559:F570 F572:F589 F591:F595 F597:F599 G600:G632">
      <formula1>"Pass,Fail"</formula1>
    </dataValidation>
  </dataValidations>
  <printOptions/>
  <pageMargins bottom="0.748031496062992" footer="0.0" header="0.0" left="0.236220472440945" right="0.236220472440945" top="0.748031496062992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3" width="2.29"/>
    <col customWidth="1" min="4" max="4" width="67.29"/>
    <col customWidth="1" min="5" max="5" width="63.43"/>
    <col customWidth="1" min="6" max="6" width="25.71"/>
    <col customWidth="1" min="7" max="7" width="30.71"/>
  </cols>
  <sheetData>
    <row r="1" ht="15.0" customHeight="1">
      <c r="C1" s="5"/>
    </row>
    <row r="2" ht="15.0" customHeight="1"/>
    <row r="3" ht="15.0" customHeight="1"/>
    <row r="4" ht="15.0" customHeight="1"/>
    <row r="5" ht="15.0" customHeight="1"/>
    <row r="6" ht="20.25" hidden="1" customHeight="1">
      <c r="D6" s="10"/>
    </row>
    <row r="7" ht="15.0" hidden="1" customHeight="1"/>
    <row r="8" ht="34.5" hidden="1" customHeight="1">
      <c r="D8" s="12"/>
      <c r="E8" s="14"/>
      <c r="F8" s="15"/>
      <c r="G8" s="17"/>
    </row>
    <row r="9" ht="30.0" hidden="1" customHeight="1">
      <c r="D9" s="24"/>
      <c r="E9" s="23"/>
      <c r="F9" s="25"/>
      <c r="G9" s="17"/>
    </row>
    <row r="10" ht="25.5" hidden="1" customHeight="1">
      <c r="D10" s="15"/>
      <c r="E10" s="23"/>
      <c r="F10" s="15"/>
      <c r="G10" s="30"/>
    </row>
    <row r="11" ht="28.5" hidden="1" customHeight="1">
      <c r="D11" s="15"/>
      <c r="E11" s="23"/>
      <c r="F11" s="15"/>
      <c r="G11" s="30"/>
    </row>
    <row r="12" ht="39.0" hidden="1" customHeight="1">
      <c r="D12" s="15"/>
      <c r="E12" s="23"/>
      <c r="F12" s="14"/>
      <c r="G12" s="31"/>
    </row>
    <row r="13" ht="26.25" hidden="1" customHeight="1">
      <c r="D13" s="15"/>
      <c r="E13" s="23"/>
      <c r="F13" s="14"/>
      <c r="G13" s="31"/>
    </row>
    <row r="14" ht="15.0" hidden="1" customHeight="1"/>
    <row r="15" ht="15.0" hidden="1" customHeight="1"/>
    <row r="16" ht="15.0" customHeight="1"/>
    <row r="17">
      <c r="D17" s="32" t="s">
        <v>29</v>
      </c>
      <c r="E17" s="33"/>
      <c r="F17" s="33"/>
      <c r="G17" s="34"/>
    </row>
    <row r="18">
      <c r="D18" s="35"/>
      <c r="E18" s="36"/>
      <c r="F18" s="36"/>
      <c r="G18" s="37"/>
    </row>
    <row r="19">
      <c r="D19" s="38" t="s">
        <v>18</v>
      </c>
      <c r="E19" s="39"/>
      <c r="F19" s="40" t="s">
        <v>21</v>
      </c>
      <c r="G19" s="41"/>
    </row>
    <row r="20">
      <c r="D20" s="42"/>
      <c r="E20" s="43"/>
      <c r="F20" s="44" t="s">
        <v>24</v>
      </c>
      <c r="G20" s="45"/>
    </row>
    <row r="21" ht="15.75" customHeight="1">
      <c r="D21" s="46"/>
      <c r="E21" s="43"/>
      <c r="F21" s="47" t="s">
        <v>26</v>
      </c>
      <c r="G21" s="49" t="s">
        <v>27</v>
      </c>
    </row>
    <row r="22" ht="15.75" customHeight="1">
      <c r="D22" s="46" t="s">
        <v>36</v>
      </c>
      <c r="E22" s="43" t="str">
        <f>'LOGIN TO ECMS'!E11 +DASHBOARD!E9 +REQUEST!E10 +TICKET!E10 +'WORKFLOW  '!E11</f>
        <v>#REF!</v>
      </c>
      <c r="F22" s="47" t="s">
        <v>30</v>
      </c>
      <c r="G22" s="49" t="s">
        <v>31</v>
      </c>
    </row>
    <row r="23" ht="15.75" customHeight="1">
      <c r="D23" s="46" t="s">
        <v>40</v>
      </c>
      <c r="E23" s="43" t="str">
        <f>'LOGIN TO ECMS'!E12 +DASHBOARD!E10 +REQUEST!E11 +TICKET!E11 +'WORKFLOW  '!E12</f>
        <v>#REF!</v>
      </c>
      <c r="F23" s="59" t="s">
        <v>34</v>
      </c>
      <c r="G23" s="65" t="str">
        <f>(E22/E24)*100</f>
        <v>#REF!</v>
      </c>
    </row>
    <row r="24" ht="15.75" customHeight="1">
      <c r="D24" s="68" t="s">
        <v>46</v>
      </c>
      <c r="E24" s="63" t="str">
        <f>E22+E23</f>
        <v>#REF!</v>
      </c>
      <c r="F24" s="71" t="s">
        <v>37</v>
      </c>
      <c r="G24" s="74" t="str">
        <f>(E23/E24)*100</f>
        <v>#REF!</v>
      </c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>
      <c r="C221" s="5"/>
    </row>
    <row r="222" ht="15.75" customHeight="1">
      <c r="C222" s="5"/>
    </row>
    <row r="223" ht="15.75" customHeight="1">
      <c r="C223" s="5"/>
    </row>
    <row r="224" ht="15.75" customHeight="1">
      <c r="C224" s="5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C24"/>
    <mergeCell ref="D6:G7"/>
    <mergeCell ref="D17:G1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57"/>
    <col customWidth="1" min="3" max="3" width="2.14"/>
    <col customWidth="1" min="4" max="4" width="72.43"/>
    <col customWidth="1" min="5" max="5" width="45.43"/>
    <col customWidth="1" min="6" max="6" width="48.43"/>
    <col customWidth="1" min="7" max="7" width="38.0"/>
    <col customWidth="1" min="8" max="8" width="8.71"/>
    <col customWidth="1" hidden="1" min="9" max="9" width="0.14"/>
  </cols>
  <sheetData>
    <row r="1" ht="14.25" customHeight="1"/>
    <row r="2" ht="14.25" customHeight="1">
      <c r="I2" s="5" t="s">
        <v>11</v>
      </c>
    </row>
    <row r="3" ht="14.25" customHeight="1">
      <c r="I3" s="5" t="s">
        <v>12</v>
      </c>
    </row>
    <row r="4" ht="56.25" customHeight="1">
      <c r="D4" s="7" t="s">
        <v>14</v>
      </c>
      <c r="G4" s="6"/>
    </row>
    <row r="5" ht="14.25" customHeight="1">
      <c r="D5" s="9"/>
      <c r="E5" s="12"/>
      <c r="F5" s="12"/>
      <c r="G5" s="13"/>
    </row>
    <row r="6" ht="14.25" customHeight="1">
      <c r="D6" s="16" t="s">
        <v>18</v>
      </c>
      <c r="E6" s="18"/>
      <c r="F6" s="20" t="s">
        <v>21</v>
      </c>
      <c r="G6" s="21"/>
    </row>
    <row r="7" ht="14.25" customHeight="1">
      <c r="D7" s="22"/>
      <c r="E7" s="23"/>
      <c r="F7" s="25" t="s">
        <v>24</v>
      </c>
      <c r="G7" s="26"/>
    </row>
    <row r="8" ht="14.25" customHeight="1">
      <c r="D8" s="27"/>
      <c r="E8" s="23"/>
      <c r="F8" s="15" t="s">
        <v>26</v>
      </c>
      <c r="G8" s="28" t="s">
        <v>27</v>
      </c>
    </row>
    <row r="9" ht="14.25" customHeight="1">
      <c r="D9" s="27" t="s">
        <v>28</v>
      </c>
      <c r="E9" s="23">
        <f>COUNTIF(F15:F34,I2)</f>
        <v>17</v>
      </c>
      <c r="F9" s="15" t="s">
        <v>30</v>
      </c>
      <c r="G9" s="28" t="s">
        <v>31</v>
      </c>
    </row>
    <row r="10" ht="14.25" customHeight="1">
      <c r="D10" s="27" t="s">
        <v>33</v>
      </c>
      <c r="E10" s="23">
        <f>COUNTIF(F15:F34,I3)</f>
        <v>0</v>
      </c>
      <c r="F10" s="14" t="s">
        <v>34</v>
      </c>
      <c r="G10" s="48">
        <f>(E9/E11)*100</f>
        <v>100</v>
      </c>
    </row>
    <row r="11" ht="14.25" customHeight="1">
      <c r="D11" s="50" t="s">
        <v>35</v>
      </c>
      <c r="E11" s="51">
        <f>SUM(E9:E10)</f>
        <v>17</v>
      </c>
      <c r="F11" s="52" t="s">
        <v>37</v>
      </c>
      <c r="G11" s="53">
        <f>(E10/E11)*100</f>
        <v>0</v>
      </c>
    </row>
    <row r="12" ht="14.25" customHeight="1"/>
    <row r="13" ht="14.25" customHeight="1"/>
    <row r="14" ht="14.25" customHeight="1">
      <c r="A14" s="54"/>
      <c r="B14" s="55" t="s">
        <v>39</v>
      </c>
      <c r="C14" s="56"/>
      <c r="D14" s="57" t="s">
        <v>41</v>
      </c>
      <c r="E14" s="57" t="s">
        <v>42</v>
      </c>
      <c r="F14" s="57" t="s">
        <v>43</v>
      </c>
      <c r="G14" s="58" t="s">
        <v>44</v>
      </c>
    </row>
    <row r="15" ht="14.25" customHeight="1">
      <c r="B15" s="60" t="s">
        <v>45</v>
      </c>
      <c r="C15" s="6"/>
      <c r="D15" s="61" t="s">
        <v>47</v>
      </c>
      <c r="E15" s="62"/>
      <c r="F15" s="64"/>
      <c r="G15" s="66"/>
    </row>
    <row r="16" ht="14.25" customHeight="1">
      <c r="B16" s="67"/>
      <c r="C16" s="6"/>
      <c r="D16" s="69" t="s">
        <v>48</v>
      </c>
      <c r="E16" s="70" t="s">
        <v>49</v>
      </c>
      <c r="F16" s="73" t="s">
        <v>11</v>
      </c>
      <c r="G16" s="76"/>
    </row>
    <row r="17" ht="14.25" customHeight="1">
      <c r="B17" s="67"/>
      <c r="C17" s="6"/>
      <c r="D17" s="69" t="s">
        <v>53</v>
      </c>
      <c r="E17" s="78" t="s">
        <v>54</v>
      </c>
      <c r="F17" s="73" t="s">
        <v>11</v>
      </c>
      <c r="G17" s="76"/>
    </row>
    <row r="18" ht="37.5" customHeight="1">
      <c r="B18" s="67"/>
      <c r="C18" s="6"/>
      <c r="D18" s="69" t="s">
        <v>56</v>
      </c>
      <c r="E18" s="78" t="s">
        <v>57</v>
      </c>
      <c r="F18" s="73" t="s">
        <v>11</v>
      </c>
      <c r="G18" s="76"/>
    </row>
    <row r="19" ht="30.75" customHeight="1">
      <c r="B19" s="67"/>
      <c r="C19" s="6"/>
      <c r="D19" s="69" t="s">
        <v>58</v>
      </c>
      <c r="E19" s="78" t="s">
        <v>59</v>
      </c>
      <c r="F19" s="73" t="s">
        <v>11</v>
      </c>
      <c r="G19" s="76"/>
    </row>
    <row r="20" ht="38.25" customHeight="1">
      <c r="B20" s="67"/>
      <c r="C20" s="6"/>
      <c r="D20" s="69" t="s">
        <v>60</v>
      </c>
      <c r="E20" s="78" t="s">
        <v>61</v>
      </c>
      <c r="F20" s="73" t="s">
        <v>11</v>
      </c>
      <c r="G20" s="76"/>
    </row>
    <row r="21" ht="41.25" customHeight="1">
      <c r="B21" s="67"/>
      <c r="C21" s="6"/>
      <c r="D21" s="69" t="s">
        <v>62</v>
      </c>
      <c r="E21" s="78" t="s">
        <v>63</v>
      </c>
      <c r="F21" s="73" t="s">
        <v>11</v>
      </c>
      <c r="G21" s="76"/>
    </row>
    <row r="22" ht="42.75" customHeight="1">
      <c r="B22" s="67"/>
      <c r="C22" s="6"/>
      <c r="D22" s="69" t="s">
        <v>64</v>
      </c>
      <c r="E22" s="78" t="s">
        <v>65</v>
      </c>
      <c r="F22" s="73" t="s">
        <v>11</v>
      </c>
      <c r="G22" s="76"/>
    </row>
    <row r="23" ht="36.75" customHeight="1">
      <c r="B23" s="67"/>
      <c r="C23" s="6"/>
      <c r="D23" s="69" t="s">
        <v>66</v>
      </c>
      <c r="E23" s="78" t="s">
        <v>67</v>
      </c>
      <c r="F23" s="73" t="s">
        <v>11</v>
      </c>
      <c r="G23" s="76"/>
    </row>
    <row r="24" ht="60.0" customHeight="1">
      <c r="B24" s="67"/>
      <c r="C24" s="6"/>
      <c r="D24" s="69" t="s">
        <v>68</v>
      </c>
      <c r="E24" s="78" t="s">
        <v>69</v>
      </c>
      <c r="F24" s="73" t="s">
        <v>11</v>
      </c>
      <c r="G24" s="76"/>
    </row>
    <row r="25" ht="60.0" customHeight="1">
      <c r="B25" s="67"/>
      <c r="C25" s="6"/>
      <c r="D25" s="89" t="s">
        <v>70</v>
      </c>
      <c r="E25" s="90" t="s">
        <v>71</v>
      </c>
      <c r="F25" s="73" t="s">
        <v>11</v>
      </c>
      <c r="G25" s="92"/>
    </row>
    <row r="26" ht="60.0" customHeight="1">
      <c r="B26" s="67"/>
      <c r="C26" s="6"/>
      <c r="D26" s="89" t="s">
        <v>72</v>
      </c>
      <c r="E26" s="90" t="s">
        <v>73</v>
      </c>
      <c r="F26" s="73" t="s">
        <v>11</v>
      </c>
      <c r="G26" s="92"/>
    </row>
    <row r="27" ht="60.0" customHeight="1">
      <c r="B27" s="67"/>
      <c r="C27" s="6"/>
      <c r="D27" s="89" t="s">
        <v>74</v>
      </c>
      <c r="E27" s="90" t="s">
        <v>75</v>
      </c>
      <c r="F27" s="73" t="s">
        <v>11</v>
      </c>
      <c r="G27" s="92"/>
    </row>
    <row r="28" ht="60.0" customHeight="1">
      <c r="B28" s="67"/>
      <c r="C28" s="6"/>
      <c r="D28" s="89" t="s">
        <v>76</v>
      </c>
      <c r="E28" s="90" t="s">
        <v>77</v>
      </c>
      <c r="F28" s="73" t="s">
        <v>11</v>
      </c>
      <c r="G28" s="92"/>
    </row>
    <row r="29" ht="60.0" customHeight="1">
      <c r="B29" s="67"/>
      <c r="C29" s="6"/>
      <c r="D29" s="89" t="s">
        <v>78</v>
      </c>
      <c r="E29" s="90" t="s">
        <v>79</v>
      </c>
      <c r="F29" s="73" t="s">
        <v>11</v>
      </c>
      <c r="G29" s="92"/>
    </row>
    <row r="30" ht="60.0" customHeight="1">
      <c r="B30" s="67"/>
      <c r="C30" s="6"/>
      <c r="D30" s="89" t="s">
        <v>80</v>
      </c>
      <c r="E30" s="90" t="s">
        <v>81</v>
      </c>
      <c r="F30" s="73" t="s">
        <v>11</v>
      </c>
      <c r="G30" s="92"/>
    </row>
    <row r="31" ht="60.0" customHeight="1">
      <c r="B31" s="67"/>
      <c r="C31" s="6"/>
      <c r="D31" s="89" t="s">
        <v>82</v>
      </c>
      <c r="E31" s="90" t="s">
        <v>83</v>
      </c>
      <c r="F31" s="73" t="s">
        <v>11</v>
      </c>
      <c r="G31" s="92"/>
    </row>
    <row r="32" ht="60.0" customHeight="1">
      <c r="B32" s="67"/>
      <c r="C32" s="6"/>
      <c r="D32" s="89" t="s">
        <v>84</v>
      </c>
      <c r="E32" s="90" t="s">
        <v>85</v>
      </c>
      <c r="F32" s="73" t="s">
        <v>11</v>
      </c>
      <c r="G32" s="92"/>
    </row>
    <row r="33" ht="14.25" customHeight="1">
      <c r="B33" s="67"/>
      <c r="C33" s="6"/>
      <c r="D33" s="98" t="s">
        <v>86</v>
      </c>
      <c r="E33" s="99"/>
      <c r="F33" s="101"/>
      <c r="G33" s="102"/>
    </row>
    <row r="34" ht="14.25" customHeight="1">
      <c r="B34" s="103"/>
      <c r="C34" s="6"/>
      <c r="D34" s="104"/>
      <c r="E34" s="105"/>
      <c r="F34" s="107"/>
      <c r="G34" s="109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4:F4"/>
    <mergeCell ref="B15:B34"/>
  </mergeCells>
  <dataValidations>
    <dataValidation type="list" allowBlank="1" showErrorMessage="1" sqref="G16:G33">
      <formula1>"Pass,Fail,Update required,Not implemented,Not tested,Bug noticed"</formula1>
    </dataValidation>
    <dataValidation type="list" allowBlank="1" showErrorMessage="1" sqref="F16:F32 F34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3" width="2.29"/>
    <col customWidth="1" min="4" max="4" width="67.29"/>
    <col customWidth="1" min="5" max="5" width="63.43"/>
    <col customWidth="1" min="6" max="6" width="25.71"/>
    <col customWidth="1" min="7" max="7" width="36.57"/>
    <col customWidth="1" min="8" max="8" width="8.71"/>
    <col customWidth="1" hidden="1" min="9" max="9" width="0.14"/>
  </cols>
  <sheetData>
    <row r="2" ht="15.0" customHeight="1">
      <c r="I2" s="5" t="s">
        <v>11</v>
      </c>
    </row>
    <row r="3" ht="15.0" customHeight="1">
      <c r="I3" s="5" t="s">
        <v>12</v>
      </c>
    </row>
    <row r="6" ht="20.25" customHeight="1">
      <c r="D6" s="7" t="s">
        <v>14</v>
      </c>
      <c r="E6" s="7"/>
      <c r="F6" s="7"/>
      <c r="G6" s="6"/>
    </row>
    <row r="7" ht="15.0" customHeight="1">
      <c r="D7" s="9"/>
      <c r="E7" s="12"/>
      <c r="F7" s="12"/>
      <c r="G7" s="13"/>
    </row>
    <row r="8" ht="15.0" customHeight="1">
      <c r="D8" s="16" t="s">
        <v>18</v>
      </c>
      <c r="E8" s="18"/>
      <c r="F8" s="20" t="s">
        <v>21</v>
      </c>
      <c r="G8" s="21"/>
    </row>
    <row r="9" ht="15.0" customHeight="1">
      <c r="D9" s="22"/>
      <c r="E9" s="23"/>
      <c r="F9" s="25" t="s">
        <v>24</v>
      </c>
      <c r="G9" s="26"/>
    </row>
    <row r="10" ht="15.0" customHeight="1">
      <c r="D10" s="27"/>
      <c r="E10" s="23"/>
      <c r="F10" s="15" t="s">
        <v>26</v>
      </c>
      <c r="G10" s="28" t="s">
        <v>107</v>
      </c>
    </row>
    <row r="11" ht="15.0" customHeight="1">
      <c r="D11" s="27" t="s">
        <v>28</v>
      </c>
      <c r="E11" s="23">
        <f>COUNTIF(F18:F71,I2)</f>
        <v>30</v>
      </c>
      <c r="F11" s="15" t="s">
        <v>30</v>
      </c>
      <c r="G11" s="28" t="s">
        <v>108</v>
      </c>
    </row>
    <row r="12" ht="15.0" customHeight="1">
      <c r="D12" s="27" t="s">
        <v>33</v>
      </c>
      <c r="E12" s="23">
        <f>COUNTIF(F19:F71,I3)</f>
        <v>0</v>
      </c>
      <c r="F12" s="14" t="s">
        <v>34</v>
      </c>
      <c r="G12" s="141">
        <f>(E11/E13)*100</f>
        <v>100</v>
      </c>
    </row>
    <row r="13" ht="15.0" customHeight="1">
      <c r="D13" s="50" t="s">
        <v>35</v>
      </c>
      <c r="E13" s="51">
        <f>SUM(E11:E12)</f>
        <v>30</v>
      </c>
      <c r="F13" s="52" t="s">
        <v>37</v>
      </c>
      <c r="G13" s="143">
        <f>(E12/E13)*100</f>
        <v>0</v>
      </c>
    </row>
    <row r="16" ht="27.0" customHeight="1">
      <c r="B16" s="144" t="s">
        <v>39</v>
      </c>
      <c r="D16" s="145" t="s">
        <v>41</v>
      </c>
      <c r="E16" s="146" t="s">
        <v>42</v>
      </c>
      <c r="F16" s="146" t="s">
        <v>43</v>
      </c>
      <c r="G16" s="147" t="s">
        <v>44</v>
      </c>
    </row>
    <row r="17">
      <c r="B17" s="148"/>
      <c r="D17" s="149"/>
      <c r="E17" s="150"/>
      <c r="F17" s="151"/>
      <c r="G17" s="152"/>
    </row>
    <row r="18">
      <c r="B18" s="110"/>
      <c r="D18" s="111" t="s">
        <v>88</v>
      </c>
      <c r="E18" s="112"/>
      <c r="F18" s="64"/>
      <c r="G18" s="113"/>
    </row>
    <row r="19">
      <c r="B19" s="114"/>
      <c r="D19" s="115" t="s">
        <v>89</v>
      </c>
      <c r="E19" s="116" t="s">
        <v>110</v>
      </c>
      <c r="F19" s="73" t="s">
        <v>11</v>
      </c>
      <c r="G19" s="76"/>
    </row>
    <row r="20" ht="29.25" customHeight="1">
      <c r="B20" s="114"/>
      <c r="D20" s="117" t="s">
        <v>91</v>
      </c>
      <c r="E20" s="118" t="s">
        <v>92</v>
      </c>
      <c r="F20" s="73" t="s">
        <v>11</v>
      </c>
      <c r="G20" s="76"/>
    </row>
    <row r="21" ht="15.75" customHeight="1">
      <c r="B21" s="114"/>
      <c r="D21" s="119" t="s">
        <v>86</v>
      </c>
      <c r="E21" s="120"/>
      <c r="F21" s="156"/>
      <c r="G21" s="102"/>
    </row>
    <row r="22" ht="15.75" customHeight="1">
      <c r="B22" s="114"/>
      <c r="D22" s="6"/>
      <c r="E22" s="6"/>
      <c r="F22" s="6"/>
      <c r="G22" s="6"/>
    </row>
    <row r="23" ht="15.75" customHeight="1">
      <c r="B23" s="114"/>
      <c r="D23" s="111" t="s">
        <v>93</v>
      </c>
      <c r="E23" s="112"/>
      <c r="F23" s="157"/>
      <c r="G23" s="159"/>
    </row>
    <row r="24" ht="15.75" customHeight="1">
      <c r="B24" s="114"/>
      <c r="D24" s="117" t="s">
        <v>94</v>
      </c>
      <c r="E24" s="125" t="s">
        <v>95</v>
      </c>
      <c r="F24" s="125" t="s">
        <v>11</v>
      </c>
      <c r="G24" s="76"/>
    </row>
    <row r="25" ht="15.75" customHeight="1">
      <c r="B25" s="114"/>
      <c r="D25" s="117" t="s">
        <v>96</v>
      </c>
      <c r="E25" s="125" t="s">
        <v>97</v>
      </c>
      <c r="F25" s="125" t="s">
        <v>11</v>
      </c>
      <c r="G25" s="76"/>
    </row>
    <row r="26" ht="15.75" customHeight="1">
      <c r="B26" s="114"/>
      <c r="D26" s="117" t="s">
        <v>98</v>
      </c>
      <c r="E26" s="125" t="s">
        <v>99</v>
      </c>
      <c r="F26" s="125" t="s">
        <v>11</v>
      </c>
      <c r="G26" s="76"/>
    </row>
    <row r="27" ht="15.75" customHeight="1">
      <c r="B27" s="114"/>
      <c r="D27" s="117" t="s">
        <v>100</v>
      </c>
      <c r="E27" s="125" t="s">
        <v>101</v>
      </c>
      <c r="F27" s="125" t="s">
        <v>11</v>
      </c>
      <c r="G27" s="76"/>
    </row>
    <row r="28" ht="15.75" customHeight="1">
      <c r="B28" s="114"/>
      <c r="D28" s="117" t="s">
        <v>91</v>
      </c>
      <c r="E28" s="125" t="s">
        <v>102</v>
      </c>
      <c r="F28" s="125" t="s">
        <v>11</v>
      </c>
      <c r="G28" s="76"/>
    </row>
    <row r="29" ht="15.75" customHeight="1">
      <c r="B29" s="114"/>
      <c r="D29" s="119" t="s">
        <v>86</v>
      </c>
      <c r="E29" s="120"/>
      <c r="F29" s="163"/>
      <c r="G29" s="102"/>
    </row>
    <row r="30" ht="15.75" customHeight="1">
      <c r="B30" s="114"/>
      <c r="D30" s="127"/>
      <c r="E30" s="127"/>
      <c r="F30" s="127"/>
      <c r="G30" s="127"/>
    </row>
    <row r="31" ht="15.75" customHeight="1">
      <c r="B31" s="114"/>
      <c r="D31" s="111" t="s">
        <v>103</v>
      </c>
      <c r="E31" s="112"/>
      <c r="F31" s="164"/>
      <c r="G31" s="154"/>
    </row>
    <row r="32" ht="15.75" customHeight="1">
      <c r="B32" s="114"/>
      <c r="D32" s="117" t="s">
        <v>94</v>
      </c>
      <c r="E32" s="125" t="s">
        <v>95</v>
      </c>
      <c r="F32" s="133" t="s">
        <v>11</v>
      </c>
      <c r="G32" s="76"/>
    </row>
    <row r="33" ht="15.75" customHeight="1">
      <c r="B33" s="114"/>
      <c r="D33" s="117" t="s">
        <v>96</v>
      </c>
      <c r="E33" s="125" t="s">
        <v>97</v>
      </c>
      <c r="F33" s="133" t="s">
        <v>11</v>
      </c>
      <c r="G33" s="76"/>
    </row>
    <row r="34" ht="15.75" customHeight="1">
      <c r="B34" s="114"/>
      <c r="D34" s="117" t="s">
        <v>98</v>
      </c>
      <c r="E34" s="125" t="s">
        <v>99</v>
      </c>
      <c r="F34" s="133" t="s">
        <v>11</v>
      </c>
      <c r="G34" s="76"/>
    </row>
    <row r="35" ht="15.75" customHeight="1">
      <c r="B35" s="114"/>
      <c r="D35" s="117" t="s">
        <v>100</v>
      </c>
      <c r="E35" s="125" t="s">
        <v>101</v>
      </c>
      <c r="F35" s="133" t="s">
        <v>11</v>
      </c>
      <c r="G35" s="76"/>
    </row>
    <row r="36" ht="15.75" customHeight="1">
      <c r="B36" s="114" t="s">
        <v>115</v>
      </c>
      <c r="D36" s="117" t="s">
        <v>91</v>
      </c>
      <c r="E36" s="125" t="s">
        <v>105</v>
      </c>
      <c r="F36" s="133" t="s">
        <v>11</v>
      </c>
      <c r="G36" s="76"/>
    </row>
    <row r="37" ht="15.75" customHeight="1">
      <c r="B37" s="114"/>
      <c r="D37" s="119" t="s">
        <v>86</v>
      </c>
      <c r="E37" s="120"/>
      <c r="F37" s="101"/>
      <c r="G37" s="102"/>
    </row>
    <row r="38" ht="15.75" customHeight="1">
      <c r="B38" s="114"/>
      <c r="D38" s="127"/>
      <c r="E38" s="128"/>
      <c r="F38" s="100"/>
      <c r="G38" s="100"/>
    </row>
    <row r="39" ht="15.75" customHeight="1">
      <c r="B39" s="114"/>
      <c r="D39" s="111" t="s">
        <v>106</v>
      </c>
      <c r="E39" s="112"/>
      <c r="F39" s="138"/>
      <c r="G39" s="154"/>
    </row>
    <row r="40" ht="15.75" customHeight="1">
      <c r="B40" s="114"/>
      <c r="D40" s="117" t="s">
        <v>94</v>
      </c>
      <c r="E40" s="125" t="s">
        <v>95</v>
      </c>
      <c r="F40" s="140" t="s">
        <v>11</v>
      </c>
      <c r="G40" s="76"/>
    </row>
    <row r="41" ht="15.75" customHeight="1">
      <c r="B41" s="114"/>
      <c r="D41" s="117" t="s">
        <v>96</v>
      </c>
      <c r="E41" s="125" t="s">
        <v>97</v>
      </c>
      <c r="F41" s="140" t="s">
        <v>11</v>
      </c>
      <c r="G41" s="76"/>
    </row>
    <row r="42" ht="15.75" customHeight="1">
      <c r="B42" s="114"/>
      <c r="D42" s="117" t="s">
        <v>98</v>
      </c>
      <c r="E42" s="125" t="s">
        <v>99</v>
      </c>
      <c r="F42" s="140" t="s">
        <v>11</v>
      </c>
      <c r="G42" s="76"/>
    </row>
    <row r="43" ht="15.75" customHeight="1">
      <c r="B43" s="114"/>
      <c r="D43" s="117" t="s">
        <v>100</v>
      </c>
      <c r="E43" s="125" t="s">
        <v>101</v>
      </c>
      <c r="F43" s="140" t="s">
        <v>11</v>
      </c>
      <c r="G43" s="76"/>
    </row>
    <row r="44" ht="15.75" customHeight="1">
      <c r="B44" s="114"/>
      <c r="D44" s="117" t="s">
        <v>91</v>
      </c>
      <c r="E44" s="125" t="s">
        <v>105</v>
      </c>
      <c r="F44" s="140" t="s">
        <v>11</v>
      </c>
      <c r="G44" s="76"/>
    </row>
    <row r="45" ht="15.75" customHeight="1">
      <c r="B45" s="114"/>
      <c r="D45" s="119" t="s">
        <v>86</v>
      </c>
      <c r="E45" s="120"/>
      <c r="F45" s="142"/>
      <c r="G45" s="102"/>
    </row>
    <row r="46" ht="15.75" customHeight="1">
      <c r="B46" s="114"/>
      <c r="D46" s="127"/>
      <c r="E46" s="128"/>
      <c r="F46" s="100"/>
      <c r="G46" s="100"/>
    </row>
    <row r="47" ht="15.75" customHeight="1">
      <c r="B47" s="114"/>
      <c r="D47" s="111" t="s">
        <v>109</v>
      </c>
      <c r="E47" s="112"/>
      <c r="F47" s="138"/>
      <c r="G47" s="154"/>
    </row>
    <row r="48" ht="15.75" customHeight="1">
      <c r="B48" s="114"/>
      <c r="D48" s="117" t="s">
        <v>94</v>
      </c>
      <c r="E48" s="125" t="s">
        <v>95</v>
      </c>
      <c r="F48" s="140" t="s">
        <v>11</v>
      </c>
      <c r="G48" s="76"/>
    </row>
    <row r="49" ht="15.75" customHeight="1">
      <c r="B49" s="114"/>
      <c r="D49" s="117" t="s">
        <v>96</v>
      </c>
      <c r="E49" s="125" t="s">
        <v>97</v>
      </c>
      <c r="F49" s="140" t="s">
        <v>11</v>
      </c>
      <c r="G49" s="76"/>
    </row>
    <row r="50" ht="15.75" customHeight="1">
      <c r="B50" s="114"/>
      <c r="D50" s="117" t="s">
        <v>98</v>
      </c>
      <c r="E50" s="125" t="s">
        <v>99</v>
      </c>
      <c r="F50" s="140" t="s">
        <v>11</v>
      </c>
      <c r="G50" s="76"/>
    </row>
    <row r="51" ht="15.75" customHeight="1">
      <c r="B51" s="114"/>
      <c r="D51" s="117" t="s">
        <v>100</v>
      </c>
      <c r="E51" s="125" t="s">
        <v>101</v>
      </c>
      <c r="F51" s="140" t="s">
        <v>11</v>
      </c>
      <c r="G51" s="76"/>
    </row>
    <row r="52" ht="15.75" customHeight="1">
      <c r="B52" s="114"/>
      <c r="D52" s="117" t="s">
        <v>91</v>
      </c>
      <c r="E52" s="125" t="s">
        <v>105</v>
      </c>
      <c r="F52" s="140" t="s">
        <v>11</v>
      </c>
      <c r="G52" s="76"/>
    </row>
    <row r="53" ht="15.75" customHeight="1">
      <c r="B53" s="114"/>
      <c r="D53" s="119" t="s">
        <v>86</v>
      </c>
      <c r="E53" s="120"/>
      <c r="F53" s="142"/>
      <c r="G53" s="102"/>
    </row>
    <row r="54" ht="15.75" customHeight="1">
      <c r="B54" s="114"/>
      <c r="D54" s="127"/>
      <c r="E54" s="127"/>
      <c r="F54" s="127"/>
      <c r="G54" s="127"/>
    </row>
    <row r="55" ht="15.75" customHeight="1">
      <c r="B55" s="114"/>
      <c r="D55" s="127"/>
      <c r="E55" s="127"/>
      <c r="F55" s="127"/>
      <c r="G55" s="127"/>
    </row>
    <row r="56" ht="15.75" customHeight="1">
      <c r="B56" s="114"/>
      <c r="D56" s="61" t="s">
        <v>111</v>
      </c>
      <c r="E56" s="175"/>
      <c r="F56" s="138"/>
      <c r="G56" s="154"/>
    </row>
    <row r="57" ht="15.75" customHeight="1">
      <c r="B57" s="114"/>
      <c r="D57" s="117" t="s">
        <v>94</v>
      </c>
      <c r="E57" s="125" t="s">
        <v>95</v>
      </c>
      <c r="F57" s="140" t="s">
        <v>11</v>
      </c>
      <c r="G57" s="76"/>
    </row>
    <row r="58" ht="15.75" customHeight="1">
      <c r="B58" s="114"/>
      <c r="D58" s="117" t="s">
        <v>96</v>
      </c>
      <c r="E58" s="125" t="s">
        <v>97</v>
      </c>
      <c r="F58" s="140" t="s">
        <v>11</v>
      </c>
      <c r="G58" s="76"/>
    </row>
    <row r="59" ht="15.75" customHeight="1">
      <c r="B59" s="114"/>
      <c r="D59" s="117" t="s">
        <v>98</v>
      </c>
      <c r="E59" s="125" t="s">
        <v>99</v>
      </c>
      <c r="F59" s="140" t="s">
        <v>11</v>
      </c>
      <c r="G59" s="76"/>
    </row>
    <row r="60" ht="15.75" customHeight="1">
      <c r="B60" s="114"/>
      <c r="D60" s="117" t="s">
        <v>100</v>
      </c>
      <c r="E60" s="125" t="s">
        <v>101</v>
      </c>
      <c r="F60" s="140" t="s">
        <v>11</v>
      </c>
      <c r="G60" s="76"/>
    </row>
    <row r="61" ht="15.75" customHeight="1">
      <c r="B61" s="114"/>
      <c r="D61" s="117" t="s">
        <v>112</v>
      </c>
      <c r="E61" s="125" t="s">
        <v>113</v>
      </c>
      <c r="F61" s="140" t="s">
        <v>11</v>
      </c>
      <c r="G61" s="76"/>
    </row>
    <row r="62" ht="15.75" customHeight="1">
      <c r="B62" s="158"/>
      <c r="D62" s="119" t="s">
        <v>86</v>
      </c>
      <c r="E62" s="120"/>
      <c r="F62" s="142"/>
      <c r="G62" s="102"/>
    </row>
    <row r="63" ht="15.75" customHeight="1"/>
    <row r="64" ht="15.75" customHeight="1">
      <c r="B64" s="176" t="s">
        <v>141</v>
      </c>
      <c r="D64" s="178" t="s">
        <v>144</v>
      </c>
      <c r="E64" s="179"/>
      <c r="F64" s="180"/>
      <c r="G64" s="181"/>
    </row>
    <row r="65" ht="30.75" customHeight="1">
      <c r="B65" s="67"/>
      <c r="D65" s="117" t="s">
        <v>145</v>
      </c>
      <c r="E65" s="182" t="s">
        <v>146</v>
      </c>
      <c r="F65" s="139" t="s">
        <v>11</v>
      </c>
      <c r="G65" s="76"/>
    </row>
    <row r="66" ht="15.75" customHeight="1">
      <c r="B66" s="67"/>
      <c r="D66" s="183" t="s">
        <v>147</v>
      </c>
      <c r="E66" s="184" t="s">
        <v>148</v>
      </c>
      <c r="F66" s="139" t="s">
        <v>11</v>
      </c>
      <c r="G66" s="76"/>
    </row>
    <row r="67" ht="15.75" customHeight="1">
      <c r="B67" s="103"/>
      <c r="D67" s="185" t="s">
        <v>86</v>
      </c>
      <c r="E67" s="186"/>
      <c r="F67" s="187"/>
      <c r="G67" s="102"/>
    </row>
    <row r="68" ht="15.75" customHeight="1">
      <c r="B68" s="8"/>
      <c r="D68" s="9"/>
      <c r="E68" s="107"/>
      <c r="F68" s="106"/>
      <c r="G68" s="30"/>
    </row>
    <row r="69" ht="15.75" customHeight="1">
      <c r="B69" s="8"/>
      <c r="C69" s="6"/>
      <c r="D69" s="9"/>
      <c r="E69" s="107"/>
      <c r="F69" s="106"/>
      <c r="G69" s="30"/>
    </row>
    <row r="70" ht="15.75" customHeight="1">
      <c r="B70" s="171" t="s">
        <v>151</v>
      </c>
      <c r="C70" s="6"/>
      <c r="D70" s="61" t="s">
        <v>152</v>
      </c>
      <c r="E70" s="62"/>
      <c r="F70" s="64"/>
      <c r="G70" s="66"/>
    </row>
    <row r="71" ht="15.75" customHeight="1">
      <c r="B71" s="67"/>
      <c r="C71" s="6"/>
      <c r="D71" s="69" t="s">
        <v>153</v>
      </c>
      <c r="E71" s="70" t="s">
        <v>154</v>
      </c>
      <c r="F71" s="73" t="s">
        <v>11</v>
      </c>
      <c r="G71" s="76"/>
    </row>
    <row r="72" ht="15.75" customHeight="1">
      <c r="B72" s="103"/>
      <c r="C72" s="6"/>
      <c r="D72" s="98" t="s">
        <v>86</v>
      </c>
      <c r="E72" s="99"/>
      <c r="F72" s="101"/>
      <c r="G72" s="10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64:B67"/>
    <mergeCell ref="B70:B72"/>
  </mergeCells>
  <dataValidations>
    <dataValidation type="list" allowBlank="1" showErrorMessage="1" sqref="G19:G21 G24:G29 G32:G37 G40:G45 G48:G53 G57:G62 G65:G67 G71:G72">
      <formula1>"Pass,Fail,Update required,Not implemented,Not tested,Bug noticed"</formula1>
    </dataValidation>
    <dataValidation type="list" allowBlank="1" showErrorMessage="1" sqref="F19:F20 F24:F28 F32:F36 F40:F45 F48:F52 F57:F61 F65:F66 F71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57"/>
    <col customWidth="1" min="3" max="3" width="2.57"/>
    <col customWidth="1" min="4" max="4" width="44.71"/>
    <col customWidth="1" min="5" max="5" width="43.71"/>
    <col customWidth="1" min="6" max="6" width="27.43"/>
    <col customWidth="1" min="7" max="7" width="37.29"/>
    <col customWidth="1" min="8" max="8" width="9.14"/>
    <col customWidth="1" hidden="1" min="9" max="9" width="0.14"/>
  </cols>
  <sheetData>
    <row r="2">
      <c r="I2" s="5" t="s">
        <v>11</v>
      </c>
    </row>
    <row r="3">
      <c r="I3" s="5" t="s">
        <v>12</v>
      </c>
    </row>
    <row r="5">
      <c r="D5" s="7" t="s">
        <v>14</v>
      </c>
      <c r="G5" s="6"/>
    </row>
    <row r="6">
      <c r="D6" s="9"/>
      <c r="E6" s="12"/>
      <c r="F6" s="12"/>
      <c r="G6" s="13"/>
    </row>
    <row r="7">
      <c r="D7" s="16" t="s">
        <v>18</v>
      </c>
      <c r="E7" s="18"/>
      <c r="F7" s="20" t="s">
        <v>21</v>
      </c>
      <c r="G7" s="21"/>
    </row>
    <row r="8">
      <c r="D8" s="22"/>
      <c r="E8" s="23"/>
      <c r="F8" s="25" t="s">
        <v>24</v>
      </c>
      <c r="G8" s="26"/>
    </row>
    <row r="9">
      <c r="D9" s="27"/>
      <c r="E9" s="23"/>
      <c r="F9" s="15" t="s">
        <v>26</v>
      </c>
      <c r="G9" s="28" t="s">
        <v>27</v>
      </c>
    </row>
    <row r="10">
      <c r="D10" s="27" t="s">
        <v>28</v>
      </c>
      <c r="E10" s="23">
        <f>COUNTIF(F16:F43,I2)</f>
        <v>24</v>
      </c>
      <c r="F10" s="15" t="s">
        <v>30</v>
      </c>
      <c r="G10" s="28" t="s">
        <v>31</v>
      </c>
    </row>
    <row r="11">
      <c r="D11" s="27" t="s">
        <v>33</v>
      </c>
      <c r="E11" s="23">
        <f>COUNTIF(F16:F43,I3)</f>
        <v>0</v>
      </c>
      <c r="F11" s="14" t="s">
        <v>34</v>
      </c>
      <c r="G11" s="48">
        <f>(E10/E12)*100</f>
        <v>100</v>
      </c>
    </row>
    <row r="12">
      <c r="D12" s="50" t="s">
        <v>35</v>
      </c>
      <c r="E12" s="51">
        <f>SUM(E10:E11)</f>
        <v>24</v>
      </c>
      <c r="F12" s="52" t="s">
        <v>37</v>
      </c>
      <c r="G12" s="53">
        <f>(E11/E12)*100</f>
        <v>0</v>
      </c>
    </row>
    <row r="14">
      <c r="B14" s="57" t="s">
        <v>39</v>
      </c>
      <c r="C14" s="56"/>
      <c r="D14" s="57" t="s">
        <v>41</v>
      </c>
      <c r="E14" s="57" t="s">
        <v>42</v>
      </c>
      <c r="F14" s="57" t="s">
        <v>43</v>
      </c>
      <c r="G14" s="58" t="s">
        <v>44</v>
      </c>
    </row>
    <row r="15">
      <c r="A15" s="165"/>
      <c r="B15" s="166"/>
      <c r="C15" s="167"/>
      <c r="D15" s="168"/>
      <c r="E15" s="169"/>
      <c r="F15" s="169"/>
      <c r="G15" s="170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>
      <c r="B16" s="171" t="s">
        <v>116</v>
      </c>
      <c r="C16" s="6"/>
      <c r="D16" s="61" t="s">
        <v>117</v>
      </c>
      <c r="E16" s="62"/>
      <c r="F16" s="64"/>
      <c r="G16" s="66"/>
    </row>
    <row r="17" ht="84.75" customHeight="1">
      <c r="B17" s="67"/>
      <c r="C17" s="6"/>
      <c r="D17" s="69" t="s">
        <v>118</v>
      </c>
      <c r="E17" s="70" t="s">
        <v>119</v>
      </c>
      <c r="F17" s="73" t="s">
        <v>11</v>
      </c>
      <c r="G17" s="76"/>
    </row>
    <row r="18">
      <c r="B18" s="67"/>
      <c r="C18" s="6"/>
      <c r="D18" s="172" t="s">
        <v>120</v>
      </c>
      <c r="E18" s="173" t="s">
        <v>121</v>
      </c>
      <c r="F18" s="73" t="s">
        <v>11</v>
      </c>
      <c r="G18" s="76"/>
    </row>
    <row r="19">
      <c r="B19" s="67"/>
      <c r="C19" s="6"/>
      <c r="D19" s="172" t="s">
        <v>122</v>
      </c>
      <c r="E19" s="174" t="s">
        <v>123</v>
      </c>
      <c r="F19" s="73" t="s">
        <v>11</v>
      </c>
      <c r="G19" s="76"/>
    </row>
    <row r="20">
      <c r="B20" s="67"/>
      <c r="C20" s="6"/>
      <c r="D20" s="172" t="s">
        <v>124</v>
      </c>
      <c r="E20" s="174" t="s">
        <v>125</v>
      </c>
      <c r="F20" s="73" t="s">
        <v>11</v>
      </c>
      <c r="G20" s="76"/>
    </row>
    <row r="21" ht="15.75" customHeight="1">
      <c r="B21" s="67"/>
      <c r="C21" s="6"/>
      <c r="D21" s="172" t="s">
        <v>126</v>
      </c>
      <c r="E21" s="174" t="s">
        <v>127</v>
      </c>
      <c r="F21" s="73" t="s">
        <v>11</v>
      </c>
      <c r="G21" s="76"/>
    </row>
    <row r="22" ht="15.75" customHeight="1">
      <c r="B22" s="67"/>
      <c r="C22" s="6"/>
      <c r="D22" s="172" t="s">
        <v>128</v>
      </c>
      <c r="E22" s="174" t="s">
        <v>129</v>
      </c>
      <c r="F22" s="73" t="s">
        <v>11</v>
      </c>
      <c r="G22" s="76"/>
    </row>
    <row r="23" ht="15.75" customHeight="1">
      <c r="B23" s="67"/>
      <c r="C23" s="6"/>
      <c r="D23" s="172" t="s">
        <v>130</v>
      </c>
      <c r="E23" s="174" t="s">
        <v>131</v>
      </c>
      <c r="F23" s="73" t="s">
        <v>11</v>
      </c>
      <c r="G23" s="76"/>
    </row>
    <row r="24" ht="15.75" customHeight="1">
      <c r="B24" s="67"/>
      <c r="C24" s="6"/>
      <c r="D24" s="172" t="s">
        <v>132</v>
      </c>
      <c r="E24" s="174" t="s">
        <v>133</v>
      </c>
      <c r="F24" s="73" t="s">
        <v>11</v>
      </c>
      <c r="G24" s="76"/>
    </row>
    <row r="25" ht="15.75" customHeight="1">
      <c r="B25" s="67"/>
      <c r="C25" s="6"/>
      <c r="D25" s="172" t="s">
        <v>134</v>
      </c>
      <c r="E25" s="174" t="s">
        <v>135</v>
      </c>
      <c r="F25" s="73" t="s">
        <v>11</v>
      </c>
      <c r="G25" s="76"/>
    </row>
    <row r="26" ht="15.75" customHeight="1">
      <c r="B26" s="67"/>
      <c r="C26" s="6"/>
      <c r="D26" s="172" t="s">
        <v>136</v>
      </c>
      <c r="E26" s="174" t="s">
        <v>137</v>
      </c>
      <c r="F26" s="73" t="s">
        <v>11</v>
      </c>
      <c r="G26" s="76"/>
    </row>
    <row r="27" ht="15.75" customHeight="1">
      <c r="B27" s="67"/>
      <c r="C27" s="6"/>
      <c r="D27" s="98" t="s">
        <v>86</v>
      </c>
      <c r="E27" s="99"/>
      <c r="F27" s="73" t="s">
        <v>11</v>
      </c>
      <c r="G27" s="102"/>
    </row>
    <row r="28" ht="15.75" customHeight="1">
      <c r="B28" s="67"/>
      <c r="C28" s="6"/>
      <c r="D28" s="104"/>
      <c r="E28" s="105"/>
      <c r="F28" s="73" t="s">
        <v>11</v>
      </c>
      <c r="G28" s="109"/>
    </row>
    <row r="29" ht="31.5" customHeight="1">
      <c r="B29" s="67"/>
      <c r="C29" s="6"/>
      <c r="D29" s="61" t="s">
        <v>138</v>
      </c>
      <c r="E29" s="62"/>
      <c r="F29" s="73" t="s">
        <v>11</v>
      </c>
      <c r="G29" s="66"/>
    </row>
    <row r="30" ht="72.0" customHeight="1">
      <c r="B30" s="67"/>
      <c r="C30" s="6"/>
      <c r="D30" s="115" t="s">
        <v>139</v>
      </c>
      <c r="E30" s="118" t="s">
        <v>119</v>
      </c>
      <c r="F30" s="73" t="s">
        <v>11</v>
      </c>
      <c r="G30" s="76"/>
    </row>
    <row r="31" ht="43.5" customHeight="1">
      <c r="B31" s="67"/>
      <c r="C31" s="6"/>
      <c r="D31" s="115" t="s">
        <v>142</v>
      </c>
      <c r="E31" s="118" t="s">
        <v>143</v>
      </c>
      <c r="F31" s="73" t="s">
        <v>11</v>
      </c>
      <c r="G31" s="76"/>
    </row>
    <row r="32" ht="15.75" customHeight="1">
      <c r="B32" s="67"/>
      <c r="C32" s="6"/>
      <c r="D32" s="115" t="s">
        <v>122</v>
      </c>
      <c r="E32" s="177" t="s">
        <v>123</v>
      </c>
      <c r="F32" s="73" t="s">
        <v>11</v>
      </c>
      <c r="G32" s="76"/>
    </row>
    <row r="33" ht="15.75" customHeight="1">
      <c r="B33" s="67"/>
      <c r="C33" s="6"/>
      <c r="D33" s="115" t="s">
        <v>124</v>
      </c>
      <c r="E33" s="177" t="s">
        <v>125</v>
      </c>
      <c r="F33" s="73" t="s">
        <v>11</v>
      </c>
      <c r="G33" s="76"/>
    </row>
    <row r="34" ht="15.75" customHeight="1">
      <c r="B34" s="67"/>
      <c r="C34" s="6"/>
      <c r="D34" s="115" t="s">
        <v>126</v>
      </c>
      <c r="E34" s="177" t="s">
        <v>127</v>
      </c>
      <c r="F34" s="73" t="s">
        <v>11</v>
      </c>
      <c r="G34" s="76"/>
    </row>
    <row r="35" ht="15.75" customHeight="1">
      <c r="B35" s="67"/>
      <c r="C35" s="6"/>
      <c r="D35" s="115" t="s">
        <v>128</v>
      </c>
      <c r="E35" s="177" t="s">
        <v>129</v>
      </c>
      <c r="F35" s="73" t="s">
        <v>11</v>
      </c>
      <c r="G35" s="76"/>
    </row>
    <row r="36" ht="15.75" customHeight="1">
      <c r="B36" s="67"/>
      <c r="C36" s="6"/>
      <c r="D36" s="115" t="s">
        <v>130</v>
      </c>
      <c r="E36" s="177" t="s">
        <v>131</v>
      </c>
      <c r="F36" s="73" t="s">
        <v>11</v>
      </c>
      <c r="G36" s="76"/>
    </row>
    <row r="37" ht="15.75" customHeight="1">
      <c r="B37" s="67"/>
      <c r="C37" s="6"/>
      <c r="D37" s="115" t="s">
        <v>132</v>
      </c>
      <c r="E37" s="177" t="s">
        <v>133</v>
      </c>
      <c r="F37" s="73" t="s">
        <v>11</v>
      </c>
      <c r="G37" s="76"/>
    </row>
    <row r="38" ht="15.75" customHeight="1">
      <c r="B38" s="67"/>
      <c r="C38" s="6"/>
      <c r="D38" s="115" t="s">
        <v>134</v>
      </c>
      <c r="E38" s="177" t="s">
        <v>135</v>
      </c>
      <c r="F38" s="73" t="s">
        <v>11</v>
      </c>
      <c r="G38" s="76"/>
    </row>
    <row r="39" ht="15.75" customHeight="1">
      <c r="B39" s="67"/>
      <c r="C39" s="6"/>
      <c r="D39" s="115" t="s">
        <v>149</v>
      </c>
      <c r="E39" s="177" t="s">
        <v>150</v>
      </c>
      <c r="F39" s="73" t="s">
        <v>11</v>
      </c>
      <c r="G39" s="76"/>
    </row>
    <row r="40" ht="15.75" customHeight="1">
      <c r="B40" s="67"/>
      <c r="C40" s="6"/>
      <c r="D40" s="98" t="s">
        <v>86</v>
      </c>
      <c r="E40" s="99"/>
      <c r="F40" s="73" t="s">
        <v>11</v>
      </c>
      <c r="G40" s="102"/>
    </row>
    <row r="41" ht="15.75" customHeight="1">
      <c r="B41" s="67"/>
      <c r="C41" s="6"/>
      <c r="D41" s="104"/>
      <c r="E41" s="105"/>
      <c r="F41" s="107"/>
      <c r="G41" s="188"/>
    </row>
    <row r="42" ht="15.75" customHeight="1">
      <c r="B42" s="103"/>
      <c r="C42" s="6"/>
      <c r="D42" s="104"/>
      <c r="E42" s="105"/>
      <c r="F42" s="107"/>
      <c r="G42" s="188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F5"/>
    <mergeCell ref="B16:B42"/>
  </mergeCells>
  <dataValidations>
    <dataValidation type="list" allowBlank="1" showErrorMessage="1" sqref="G17:G27 G30:G42">
      <formula1>"Pass,Fail,Update required,Not implemented,Not tested,Bug noticed"</formula1>
    </dataValidation>
    <dataValidation type="list" allowBlank="1" showErrorMessage="1" sqref="F17:F40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14"/>
    <col customWidth="1" min="3" max="3" width="2.29"/>
    <col customWidth="1" min="4" max="4" width="56.14"/>
    <col customWidth="1" min="5" max="5" width="69.43"/>
    <col customWidth="1" min="6" max="6" width="33.29"/>
    <col customWidth="1" min="7" max="7" width="33.71"/>
    <col customWidth="1" min="8" max="10" width="8.71"/>
  </cols>
  <sheetData>
    <row r="1" ht="12.0" customHeight="1"/>
    <row r="2" ht="12.0" customHeight="1">
      <c r="J2" s="5" t="s">
        <v>169</v>
      </c>
    </row>
    <row r="3" ht="12.0" customHeight="1">
      <c r="J3" s="5" t="s">
        <v>12</v>
      </c>
    </row>
    <row r="4" ht="12.0" customHeight="1"/>
    <row r="5" ht="21.75" customHeight="1">
      <c r="D5" s="7" t="s">
        <v>14</v>
      </c>
      <c r="G5" s="6"/>
    </row>
    <row r="6" ht="12.0" customHeight="1">
      <c r="D6" s="208"/>
      <c r="E6" s="180"/>
      <c r="F6" s="180"/>
      <c r="G6" s="209"/>
    </row>
    <row r="7" ht="12.0" customHeight="1">
      <c r="D7" s="210" t="s">
        <v>18</v>
      </c>
      <c r="E7" s="14"/>
      <c r="F7" s="15" t="s">
        <v>21</v>
      </c>
      <c r="G7" s="26"/>
    </row>
    <row r="8" ht="12.0" customHeight="1">
      <c r="D8" s="22"/>
      <c r="E8" s="23"/>
      <c r="F8" s="25" t="s">
        <v>24</v>
      </c>
      <c r="G8" s="26"/>
    </row>
    <row r="9" ht="12.0" customHeight="1">
      <c r="D9" s="27"/>
      <c r="E9" s="23"/>
      <c r="F9" s="15" t="s">
        <v>26</v>
      </c>
      <c r="G9" s="28" t="s">
        <v>172</v>
      </c>
    </row>
    <row r="10" ht="12.0" customHeight="1">
      <c r="D10" s="27" t="s">
        <v>28</v>
      </c>
      <c r="E10" s="23">
        <f>COUNTIF(F38:F212,J2)</f>
        <v>0</v>
      </c>
      <c r="F10" s="15" t="s">
        <v>30</v>
      </c>
      <c r="G10" s="28" t="s">
        <v>31</v>
      </c>
    </row>
    <row r="11" ht="12.0" customHeight="1">
      <c r="D11" s="27" t="s">
        <v>33</v>
      </c>
      <c r="E11" s="23">
        <f>COUNTIF(F38:F212,J3)</f>
        <v>0</v>
      </c>
      <c r="F11" s="14" t="s">
        <v>34</v>
      </c>
      <c r="G11" s="48" t="str">
        <f>(E10/E12)*100</f>
        <v>#DIV/0!</v>
      </c>
    </row>
    <row r="12" ht="12.0" customHeight="1">
      <c r="D12" s="27" t="s">
        <v>35</v>
      </c>
      <c r="E12" s="23">
        <f>SUM(E10:E11)</f>
        <v>0</v>
      </c>
      <c r="F12" s="14" t="s">
        <v>37</v>
      </c>
      <c r="G12" s="48" t="str">
        <f>(E11/E12)*100</f>
        <v>#DIV/0!</v>
      </c>
    </row>
    <row r="13" ht="12.0" customHeight="1">
      <c r="D13" s="226"/>
      <c r="E13" s="228"/>
      <c r="F13" s="228"/>
      <c r="G13" s="229"/>
    </row>
    <row r="14" ht="12.0" customHeight="1"/>
    <row r="15" ht="12.0" customHeight="1"/>
    <row r="16" ht="27.75" customHeight="1">
      <c r="A16" s="54"/>
      <c r="B16" s="55" t="s">
        <v>39</v>
      </c>
      <c r="C16" s="56"/>
      <c r="D16" s="57" t="s">
        <v>41</v>
      </c>
      <c r="E16" s="57" t="s">
        <v>42</v>
      </c>
      <c r="F16" s="57" t="s">
        <v>43</v>
      </c>
      <c r="G16" s="58" t="s">
        <v>44</v>
      </c>
    </row>
    <row r="17" ht="27.75" customHeight="1">
      <c r="A17" s="54"/>
      <c r="B17" s="166"/>
      <c r="C17" s="56"/>
      <c r="D17" s="234"/>
      <c r="E17" s="235"/>
      <c r="F17" s="235"/>
      <c r="G17" s="236"/>
    </row>
    <row r="18" ht="32.25" customHeight="1">
      <c r="B18" s="171" t="s">
        <v>184</v>
      </c>
      <c r="C18" s="6"/>
      <c r="D18" s="61" t="s">
        <v>185</v>
      </c>
      <c r="E18" s="179"/>
      <c r="F18" s="64"/>
      <c r="G18" s="66"/>
    </row>
    <row r="19" ht="53.25" customHeight="1">
      <c r="B19" s="67"/>
      <c r="C19" s="6"/>
      <c r="D19" s="237" t="s">
        <v>186</v>
      </c>
      <c r="E19" s="70" t="s">
        <v>187</v>
      </c>
      <c r="F19" s="73" t="s">
        <v>11</v>
      </c>
      <c r="G19" s="76"/>
    </row>
    <row r="20" ht="47.25" customHeight="1">
      <c r="B20" s="67"/>
      <c r="C20" s="6"/>
      <c r="D20" s="42" t="s">
        <v>188</v>
      </c>
      <c r="E20" s="70" t="s">
        <v>189</v>
      </c>
      <c r="F20" s="73" t="s">
        <v>11</v>
      </c>
      <c r="G20" s="76"/>
    </row>
    <row r="21" ht="47.25" customHeight="1">
      <c r="B21" s="67"/>
      <c r="C21" s="6"/>
      <c r="D21" s="239" t="s">
        <v>190</v>
      </c>
      <c r="E21" s="240" t="s">
        <v>191</v>
      </c>
      <c r="F21" s="73" t="s">
        <v>11</v>
      </c>
      <c r="G21" s="92"/>
    </row>
    <row r="22" ht="47.25" customHeight="1">
      <c r="B22" s="67"/>
      <c r="C22" s="6"/>
      <c r="D22" s="239" t="s">
        <v>192</v>
      </c>
      <c r="E22" s="240" t="s">
        <v>193</v>
      </c>
      <c r="F22" s="73" t="s">
        <v>11</v>
      </c>
      <c r="G22" s="92"/>
    </row>
    <row r="23" ht="47.25" customHeight="1">
      <c r="B23" s="67"/>
      <c r="C23" s="6"/>
      <c r="D23" s="239" t="s">
        <v>194</v>
      </c>
      <c r="E23" s="240" t="s">
        <v>195</v>
      </c>
      <c r="F23" s="73" t="s">
        <v>11</v>
      </c>
      <c r="G23" s="92"/>
    </row>
    <row r="24" ht="47.25" customHeight="1">
      <c r="B24" s="67"/>
      <c r="C24" s="6"/>
      <c r="D24" s="239" t="s">
        <v>196</v>
      </c>
      <c r="E24" s="240" t="s">
        <v>197</v>
      </c>
      <c r="F24" s="73" t="s">
        <v>11</v>
      </c>
      <c r="G24" s="92"/>
    </row>
    <row r="25" ht="47.25" customHeight="1">
      <c r="B25" s="67"/>
      <c r="C25" s="6"/>
      <c r="D25" s="239" t="s">
        <v>198</v>
      </c>
      <c r="E25" s="240" t="s">
        <v>199</v>
      </c>
      <c r="F25" s="73" t="s">
        <v>11</v>
      </c>
      <c r="G25" s="92"/>
    </row>
    <row r="26" ht="47.25" customHeight="1">
      <c r="B26" s="67"/>
      <c r="C26" s="6"/>
      <c r="D26" s="239" t="s">
        <v>200</v>
      </c>
      <c r="E26" s="240" t="s">
        <v>201</v>
      </c>
      <c r="F26" s="73" t="s">
        <v>11</v>
      </c>
      <c r="G26" s="92"/>
    </row>
    <row r="27" ht="47.25" customHeight="1">
      <c r="B27" s="67"/>
      <c r="C27" s="6"/>
      <c r="D27" s="239" t="s">
        <v>202</v>
      </c>
      <c r="E27" s="240" t="s">
        <v>203</v>
      </c>
      <c r="F27" s="73" t="s">
        <v>11</v>
      </c>
      <c r="G27" s="92"/>
    </row>
    <row r="28" ht="47.25" customHeight="1">
      <c r="B28" s="67"/>
      <c r="C28" s="6"/>
      <c r="D28" s="239" t="s">
        <v>204</v>
      </c>
      <c r="E28" s="240" t="s">
        <v>205</v>
      </c>
      <c r="F28" s="73" t="s">
        <v>11</v>
      </c>
      <c r="G28" s="92"/>
    </row>
    <row r="29" ht="47.25" customHeight="1">
      <c r="B29" s="67"/>
      <c r="C29" s="6"/>
      <c r="D29" s="239" t="s">
        <v>206</v>
      </c>
      <c r="E29" s="240" t="s">
        <v>207</v>
      </c>
      <c r="F29" s="73" t="s">
        <v>11</v>
      </c>
      <c r="G29" s="92"/>
    </row>
    <row r="30" ht="47.25" customHeight="1">
      <c r="B30" s="67"/>
      <c r="C30" s="6"/>
      <c r="D30" s="239" t="s">
        <v>208</v>
      </c>
      <c r="E30" s="240" t="s">
        <v>209</v>
      </c>
      <c r="F30" s="73" t="s">
        <v>11</v>
      </c>
      <c r="G30" s="92"/>
    </row>
    <row r="31" ht="47.25" customHeight="1">
      <c r="B31" s="67"/>
      <c r="C31" s="6"/>
      <c r="D31" s="239" t="s">
        <v>210</v>
      </c>
      <c r="E31" s="240" t="s">
        <v>211</v>
      </c>
      <c r="F31" s="73" t="s">
        <v>11</v>
      </c>
      <c r="G31" s="92"/>
    </row>
    <row r="32" ht="47.25" customHeight="1">
      <c r="B32" s="67"/>
      <c r="C32" s="6"/>
      <c r="D32" s="239" t="s">
        <v>212</v>
      </c>
      <c r="E32" s="240" t="s">
        <v>213</v>
      </c>
      <c r="F32" s="73" t="s">
        <v>11</v>
      </c>
      <c r="G32" s="92"/>
    </row>
    <row r="33" ht="47.25" customHeight="1">
      <c r="B33" s="67"/>
      <c r="C33" s="6"/>
      <c r="D33" s="239" t="s">
        <v>214</v>
      </c>
      <c r="E33" s="240" t="s">
        <v>215</v>
      </c>
      <c r="F33" s="73" t="s">
        <v>11</v>
      </c>
      <c r="G33" s="92"/>
    </row>
    <row r="34" ht="47.25" customHeight="1">
      <c r="B34" s="67"/>
      <c r="C34" s="6"/>
      <c r="D34" s="239" t="s">
        <v>216</v>
      </c>
      <c r="E34" s="240" t="s">
        <v>217</v>
      </c>
      <c r="F34" s="73" t="s">
        <v>11</v>
      </c>
      <c r="G34" s="92"/>
    </row>
    <row r="35" ht="36.0" customHeight="1">
      <c r="B35" s="103"/>
      <c r="C35" s="6"/>
      <c r="D35" s="98" t="s">
        <v>86</v>
      </c>
      <c r="E35" s="187"/>
      <c r="F35" s="73"/>
      <c r="G35" s="102"/>
    </row>
    <row r="36" ht="12.0" customHeight="1">
      <c r="B36" s="8"/>
      <c r="C36" s="6"/>
      <c r="D36" s="12"/>
      <c r="E36" s="12"/>
      <c r="F36" s="73"/>
      <c r="G36" s="109"/>
    </row>
    <row r="37" ht="12.0" customHeight="1">
      <c r="B37" s="249"/>
      <c r="C37" s="1"/>
      <c r="D37" s="250"/>
      <c r="E37" s="252"/>
      <c r="F37" s="73"/>
      <c r="G37" s="254"/>
    </row>
    <row r="38" ht="50.25" customHeight="1">
      <c r="B38" s="171" t="s">
        <v>219</v>
      </c>
      <c r="C38" s="6"/>
      <c r="D38" s="61" t="s">
        <v>220</v>
      </c>
      <c r="E38" s="62"/>
      <c r="F38" s="73"/>
      <c r="G38" s="66"/>
    </row>
    <row r="39" ht="44.25" customHeight="1">
      <c r="B39" s="67"/>
      <c r="C39" s="6"/>
      <c r="D39" s="42" t="s">
        <v>221</v>
      </c>
      <c r="E39" s="70" t="s">
        <v>222</v>
      </c>
      <c r="F39" s="73" t="s">
        <v>11</v>
      </c>
      <c r="G39" s="76"/>
    </row>
    <row r="40" ht="36.75" customHeight="1">
      <c r="B40" s="67"/>
      <c r="C40" s="6"/>
      <c r="D40" s="69" t="s">
        <v>223</v>
      </c>
      <c r="E40" s="78" t="s">
        <v>224</v>
      </c>
      <c r="F40" s="73" t="s">
        <v>11</v>
      </c>
      <c r="G40" s="76"/>
    </row>
    <row r="41" ht="36.75" customHeight="1">
      <c r="B41" s="67"/>
      <c r="C41" s="6"/>
      <c r="D41" s="69" t="s">
        <v>225</v>
      </c>
      <c r="E41" s="78" t="s">
        <v>226</v>
      </c>
      <c r="F41" s="73" t="s">
        <v>11</v>
      </c>
      <c r="G41" s="76"/>
    </row>
    <row r="42" ht="36.0" customHeight="1">
      <c r="B42" s="67"/>
      <c r="C42" s="6"/>
      <c r="D42" s="69" t="s">
        <v>227</v>
      </c>
      <c r="E42" s="78" t="s">
        <v>228</v>
      </c>
      <c r="F42" s="73" t="s">
        <v>11</v>
      </c>
      <c r="G42" s="76"/>
    </row>
    <row r="43" ht="36.0" customHeight="1">
      <c r="B43" s="67"/>
      <c r="C43" s="6"/>
      <c r="D43" s="69" t="s">
        <v>229</v>
      </c>
      <c r="E43" s="78" t="s">
        <v>230</v>
      </c>
      <c r="F43" s="73" t="s">
        <v>11</v>
      </c>
      <c r="G43" s="76"/>
    </row>
    <row r="44" ht="36.0" customHeight="1">
      <c r="B44" s="67"/>
      <c r="C44" s="6"/>
      <c r="D44" s="69" t="s">
        <v>231</v>
      </c>
      <c r="E44" s="78" t="s">
        <v>232</v>
      </c>
      <c r="F44" s="73" t="s">
        <v>11</v>
      </c>
      <c r="G44" s="76"/>
    </row>
    <row r="45" ht="36.0" customHeight="1">
      <c r="B45" s="67"/>
      <c r="C45" s="6"/>
      <c r="D45" s="69" t="s">
        <v>233</v>
      </c>
      <c r="E45" s="78" t="s">
        <v>234</v>
      </c>
      <c r="F45" s="73" t="s">
        <v>11</v>
      </c>
      <c r="G45" s="76"/>
    </row>
    <row r="46" ht="36.0" customHeight="1">
      <c r="B46" s="67"/>
      <c r="C46" s="6"/>
      <c r="D46" s="69" t="s">
        <v>235</v>
      </c>
      <c r="E46" s="78" t="s">
        <v>236</v>
      </c>
      <c r="F46" s="73" t="s">
        <v>11</v>
      </c>
      <c r="G46" s="76"/>
    </row>
    <row r="47" ht="36.0" customHeight="1">
      <c r="B47" s="67"/>
      <c r="C47" s="6"/>
      <c r="D47" s="69" t="s">
        <v>237</v>
      </c>
      <c r="E47" s="78" t="s">
        <v>238</v>
      </c>
      <c r="F47" s="73" t="s">
        <v>11</v>
      </c>
      <c r="G47" s="76"/>
    </row>
    <row r="48" ht="36.0" customHeight="1">
      <c r="B48" s="67"/>
      <c r="C48" s="6"/>
      <c r="D48" s="69" t="s">
        <v>239</v>
      </c>
      <c r="E48" s="78" t="s">
        <v>241</v>
      </c>
      <c r="F48" s="73" t="s">
        <v>11</v>
      </c>
      <c r="G48" s="76"/>
    </row>
    <row r="49" ht="36.0" customHeight="1">
      <c r="B49" s="67"/>
      <c r="C49" s="6"/>
      <c r="D49" s="69" t="s">
        <v>242</v>
      </c>
      <c r="E49" s="78" t="s">
        <v>243</v>
      </c>
      <c r="F49" s="73" t="s">
        <v>11</v>
      </c>
      <c r="G49" s="76"/>
    </row>
    <row r="50" ht="36.0" customHeight="1">
      <c r="B50" s="67"/>
      <c r="C50" s="6"/>
      <c r="D50" s="69" t="s">
        <v>244</v>
      </c>
      <c r="E50" s="78" t="s">
        <v>245</v>
      </c>
      <c r="F50" s="73" t="s">
        <v>11</v>
      </c>
      <c r="G50" s="76"/>
    </row>
    <row r="51" ht="36.0" customHeight="1">
      <c r="B51" s="67"/>
      <c r="C51" s="6"/>
      <c r="D51" s="69" t="s">
        <v>246</v>
      </c>
      <c r="E51" s="78" t="s">
        <v>247</v>
      </c>
      <c r="F51" s="73" t="s">
        <v>11</v>
      </c>
      <c r="G51" s="76"/>
    </row>
    <row r="52" ht="36.0" customHeight="1">
      <c r="B52" s="67"/>
      <c r="C52" s="6"/>
      <c r="D52" s="69" t="s">
        <v>248</v>
      </c>
      <c r="E52" s="78" t="s">
        <v>249</v>
      </c>
      <c r="F52" s="73" t="s">
        <v>11</v>
      </c>
      <c r="G52" s="76"/>
    </row>
    <row r="53" ht="36.0" customHeight="1">
      <c r="B53" s="67"/>
      <c r="C53" s="6"/>
      <c r="D53" s="69" t="s">
        <v>251</v>
      </c>
      <c r="E53" s="78" t="s">
        <v>252</v>
      </c>
      <c r="F53" s="73" t="s">
        <v>11</v>
      </c>
      <c r="G53" s="76"/>
    </row>
    <row r="54" ht="36.0" customHeight="1">
      <c r="B54" s="67"/>
      <c r="C54" s="6"/>
      <c r="D54" s="69" t="s">
        <v>255</v>
      </c>
      <c r="E54" s="78" t="s">
        <v>256</v>
      </c>
      <c r="F54" s="73" t="s">
        <v>11</v>
      </c>
      <c r="G54" s="76"/>
    </row>
    <row r="55" ht="36.0" customHeight="1">
      <c r="B55" s="67"/>
      <c r="C55" s="6"/>
      <c r="D55" s="69" t="s">
        <v>257</v>
      </c>
      <c r="E55" s="78" t="s">
        <v>258</v>
      </c>
      <c r="F55" s="73" t="s">
        <v>11</v>
      </c>
      <c r="G55" s="76"/>
    </row>
    <row r="56" ht="36.0" customHeight="1">
      <c r="B56" s="67"/>
      <c r="C56" s="6"/>
      <c r="D56" s="69" t="s">
        <v>260</v>
      </c>
      <c r="E56" s="78" t="s">
        <v>261</v>
      </c>
      <c r="F56" s="73" t="s">
        <v>11</v>
      </c>
      <c r="G56" s="76"/>
    </row>
    <row r="57" ht="36.0" customHeight="1">
      <c r="B57" s="67"/>
      <c r="C57" s="6"/>
      <c r="D57" s="69" t="s">
        <v>262</v>
      </c>
      <c r="E57" s="78" t="s">
        <v>263</v>
      </c>
      <c r="F57" s="73" t="s">
        <v>11</v>
      </c>
      <c r="G57" s="76"/>
    </row>
    <row r="58" ht="36.0" customHeight="1">
      <c r="B58" s="67"/>
      <c r="C58" s="6"/>
      <c r="D58" s="69" t="s">
        <v>264</v>
      </c>
      <c r="E58" s="78" t="s">
        <v>265</v>
      </c>
      <c r="F58" s="73" t="s">
        <v>11</v>
      </c>
      <c r="G58" s="76"/>
    </row>
    <row r="59" ht="36.0" customHeight="1">
      <c r="B59" s="67"/>
      <c r="C59" s="6"/>
      <c r="D59" s="69" t="s">
        <v>266</v>
      </c>
      <c r="E59" s="78" t="s">
        <v>267</v>
      </c>
      <c r="F59" s="73" t="s">
        <v>11</v>
      </c>
      <c r="G59" s="76"/>
    </row>
    <row r="60" ht="36.0" customHeight="1">
      <c r="B60" s="67"/>
      <c r="C60" s="6"/>
      <c r="D60" s="69" t="s">
        <v>268</v>
      </c>
      <c r="E60" s="78" t="s">
        <v>269</v>
      </c>
      <c r="F60" s="73" t="s">
        <v>11</v>
      </c>
      <c r="G60" s="76"/>
    </row>
    <row r="61" ht="36.0" customHeight="1">
      <c r="B61" s="67"/>
      <c r="C61" s="6"/>
      <c r="D61" s="69" t="s">
        <v>272</v>
      </c>
      <c r="E61" s="78" t="s">
        <v>273</v>
      </c>
      <c r="F61" s="73" t="s">
        <v>11</v>
      </c>
      <c r="G61" s="76"/>
    </row>
    <row r="62" ht="36.0" customHeight="1">
      <c r="B62" s="67"/>
      <c r="C62" s="6"/>
      <c r="D62" s="69" t="s">
        <v>275</v>
      </c>
      <c r="E62" s="78" t="s">
        <v>276</v>
      </c>
      <c r="F62" s="73" t="s">
        <v>11</v>
      </c>
      <c r="G62" s="76"/>
    </row>
    <row r="63" ht="36.0" customHeight="1">
      <c r="B63" s="67"/>
      <c r="C63" s="6"/>
      <c r="D63" s="69" t="s">
        <v>278</v>
      </c>
      <c r="E63" s="78" t="s">
        <v>279</v>
      </c>
      <c r="F63" s="73" t="s">
        <v>11</v>
      </c>
      <c r="G63" s="76"/>
    </row>
    <row r="64" ht="36.0" customHeight="1">
      <c r="B64" s="67"/>
      <c r="C64" s="6"/>
      <c r="D64" s="69" t="s">
        <v>281</v>
      </c>
      <c r="E64" s="78" t="s">
        <v>282</v>
      </c>
      <c r="F64" s="73" t="s">
        <v>11</v>
      </c>
      <c r="G64" s="76"/>
    </row>
    <row r="65" ht="36.0" customHeight="1">
      <c r="B65" s="67"/>
      <c r="C65" s="6"/>
      <c r="D65" s="69" t="s">
        <v>283</v>
      </c>
      <c r="E65" s="78" t="s">
        <v>284</v>
      </c>
      <c r="F65" s="73" t="s">
        <v>11</v>
      </c>
      <c r="G65" s="76"/>
    </row>
    <row r="66" ht="36.0" customHeight="1">
      <c r="B66" s="67"/>
      <c r="C66" s="6"/>
      <c r="D66" s="69" t="s">
        <v>283</v>
      </c>
      <c r="E66" s="78" t="s">
        <v>285</v>
      </c>
      <c r="F66" s="73" t="s">
        <v>11</v>
      </c>
      <c r="G66" s="76"/>
    </row>
    <row r="67" ht="36.0" customHeight="1">
      <c r="B67" s="67"/>
      <c r="C67" s="6"/>
      <c r="D67" s="69" t="s">
        <v>286</v>
      </c>
      <c r="E67" s="78" t="s">
        <v>287</v>
      </c>
      <c r="F67" s="73" t="s">
        <v>11</v>
      </c>
      <c r="G67" s="76"/>
    </row>
    <row r="68" ht="36.0" customHeight="1">
      <c r="B68" s="67"/>
      <c r="C68" s="6"/>
      <c r="D68" s="69" t="s">
        <v>288</v>
      </c>
      <c r="E68" s="78" t="s">
        <v>289</v>
      </c>
      <c r="F68" s="73" t="s">
        <v>11</v>
      </c>
      <c r="G68" s="76"/>
    </row>
    <row r="69" ht="36.0" customHeight="1">
      <c r="B69" s="67"/>
      <c r="C69" s="6"/>
      <c r="D69" s="69" t="s">
        <v>290</v>
      </c>
      <c r="E69" s="78" t="s">
        <v>291</v>
      </c>
      <c r="F69" s="73" t="s">
        <v>11</v>
      </c>
      <c r="G69" s="76"/>
    </row>
    <row r="70" ht="36.0" customHeight="1">
      <c r="B70" s="67"/>
      <c r="C70" s="6"/>
      <c r="D70" s="69" t="s">
        <v>292</v>
      </c>
      <c r="E70" s="78" t="s">
        <v>293</v>
      </c>
      <c r="F70" s="73" t="s">
        <v>11</v>
      </c>
      <c r="G70" s="76"/>
    </row>
    <row r="71" ht="26.25" customHeight="1">
      <c r="B71" s="67"/>
      <c r="C71" s="6"/>
      <c r="D71" s="69" t="s">
        <v>294</v>
      </c>
      <c r="E71" s="78" t="s">
        <v>295</v>
      </c>
      <c r="F71" s="73" t="s">
        <v>11</v>
      </c>
      <c r="G71" s="76"/>
    </row>
    <row r="72" ht="23.25" customHeight="1">
      <c r="B72" s="67"/>
      <c r="C72" s="6"/>
      <c r="D72" s="98" t="s">
        <v>86</v>
      </c>
      <c r="E72" s="99"/>
      <c r="F72" s="73"/>
      <c r="G72" s="102"/>
    </row>
    <row r="73" ht="23.25" customHeight="1">
      <c r="B73" s="67"/>
      <c r="C73" s="6"/>
      <c r="D73" s="104"/>
      <c r="E73" s="105"/>
      <c r="F73" s="73"/>
      <c r="G73" s="188"/>
    </row>
    <row r="74" ht="23.25" customHeight="1">
      <c r="B74" s="67"/>
      <c r="C74" s="6"/>
      <c r="D74" s="284" t="s">
        <v>299</v>
      </c>
      <c r="E74" s="180"/>
      <c r="F74" s="73"/>
      <c r="G74" s="286"/>
    </row>
    <row r="75" ht="23.25" customHeight="1">
      <c r="B75" s="67"/>
      <c r="C75" s="6"/>
      <c r="D75" s="115" t="s">
        <v>304</v>
      </c>
      <c r="E75" s="118" t="s">
        <v>307</v>
      </c>
      <c r="F75" s="73" t="s">
        <v>11</v>
      </c>
      <c r="G75" s="76"/>
    </row>
    <row r="76" ht="23.25" customHeight="1">
      <c r="B76" s="67"/>
      <c r="C76" s="6"/>
      <c r="D76" s="115" t="s">
        <v>310</v>
      </c>
      <c r="E76" s="118" t="s">
        <v>312</v>
      </c>
      <c r="F76" s="73" t="s">
        <v>11</v>
      </c>
      <c r="G76" s="76"/>
    </row>
    <row r="77" ht="23.25" customHeight="1">
      <c r="B77" s="67"/>
      <c r="C77" s="6"/>
      <c r="D77" s="115" t="s">
        <v>314</v>
      </c>
      <c r="E77" s="118" t="s">
        <v>315</v>
      </c>
      <c r="F77" s="73" t="s">
        <v>11</v>
      </c>
      <c r="G77" s="76"/>
    </row>
    <row r="78" ht="23.25" customHeight="1">
      <c r="B78" s="67"/>
      <c r="C78" s="6"/>
      <c r="D78" s="115" t="s">
        <v>317</v>
      </c>
      <c r="E78" s="118" t="s">
        <v>318</v>
      </c>
      <c r="F78" s="73" t="s">
        <v>11</v>
      </c>
      <c r="G78" s="76"/>
    </row>
    <row r="79" ht="23.25" customHeight="1">
      <c r="B79" s="67"/>
      <c r="C79" s="6"/>
      <c r="D79" s="289" t="s">
        <v>86</v>
      </c>
      <c r="E79" s="290"/>
      <c r="F79" s="73"/>
      <c r="G79" s="292"/>
    </row>
    <row r="80" ht="23.25" customHeight="1">
      <c r="B80" s="67"/>
      <c r="C80" s="6"/>
      <c r="D80" s="104"/>
      <c r="E80" s="105"/>
      <c r="F80" s="73"/>
      <c r="G80" s="188"/>
    </row>
    <row r="81" ht="23.25" customHeight="1">
      <c r="B81" s="67"/>
      <c r="C81" s="6"/>
      <c r="D81" s="61" t="s">
        <v>322</v>
      </c>
      <c r="E81" s="179"/>
      <c r="F81" s="73"/>
      <c r="G81" s="66"/>
    </row>
    <row r="82" ht="23.25" customHeight="1">
      <c r="B82" s="67"/>
      <c r="C82" s="6"/>
      <c r="D82" s="115" t="s">
        <v>304</v>
      </c>
      <c r="E82" s="118" t="s">
        <v>307</v>
      </c>
      <c r="F82" s="73" t="s">
        <v>11</v>
      </c>
      <c r="G82" s="76"/>
    </row>
    <row r="83" ht="23.25" customHeight="1">
      <c r="B83" s="67"/>
      <c r="C83" s="6"/>
      <c r="D83" s="115" t="s">
        <v>310</v>
      </c>
      <c r="E83" s="118" t="s">
        <v>325</v>
      </c>
      <c r="F83" s="73" t="s">
        <v>11</v>
      </c>
      <c r="G83" s="76"/>
    </row>
    <row r="84" ht="23.25" customHeight="1">
      <c r="B84" s="67"/>
      <c r="C84" s="6"/>
      <c r="D84" s="115" t="s">
        <v>314</v>
      </c>
      <c r="E84" s="118" t="s">
        <v>326</v>
      </c>
      <c r="F84" s="73" t="s">
        <v>11</v>
      </c>
      <c r="G84" s="76"/>
    </row>
    <row r="85" ht="23.25" customHeight="1">
      <c r="B85" s="67"/>
      <c r="C85" s="6"/>
      <c r="D85" s="115" t="s">
        <v>327</v>
      </c>
      <c r="E85" s="118" t="s">
        <v>318</v>
      </c>
      <c r="F85" s="73" t="s">
        <v>11</v>
      </c>
      <c r="G85" s="76"/>
    </row>
    <row r="86" ht="23.25" customHeight="1">
      <c r="B86" s="67"/>
      <c r="C86" s="6"/>
      <c r="D86" s="115" t="s">
        <v>330</v>
      </c>
      <c r="E86" s="118" t="s">
        <v>331</v>
      </c>
      <c r="F86" s="73" t="s">
        <v>11</v>
      </c>
      <c r="G86" s="76"/>
    </row>
    <row r="87" ht="23.25" customHeight="1">
      <c r="B87" s="67"/>
      <c r="C87" s="6"/>
      <c r="D87" s="115" t="s">
        <v>333</v>
      </c>
      <c r="E87" s="118" t="s">
        <v>334</v>
      </c>
      <c r="F87" s="73" t="s">
        <v>11</v>
      </c>
      <c r="G87" s="76"/>
    </row>
    <row r="88" ht="23.25" customHeight="1">
      <c r="B88" s="67"/>
      <c r="C88" s="6"/>
      <c r="D88" s="115" t="s">
        <v>336</v>
      </c>
      <c r="E88" s="118" t="s">
        <v>337</v>
      </c>
      <c r="F88" s="73" t="s">
        <v>11</v>
      </c>
      <c r="G88" s="76"/>
    </row>
    <row r="89" ht="23.25" customHeight="1">
      <c r="B89" s="67"/>
      <c r="C89" s="6"/>
      <c r="D89" s="98" t="s">
        <v>86</v>
      </c>
      <c r="E89" s="99"/>
      <c r="F89" s="73"/>
      <c r="G89" s="102"/>
    </row>
    <row r="90" ht="23.25" customHeight="1">
      <c r="B90" s="67"/>
      <c r="C90" s="6"/>
      <c r="D90" s="104"/>
      <c r="E90" s="105"/>
      <c r="F90" s="73"/>
      <c r="G90" s="188"/>
    </row>
    <row r="91" ht="23.25" customHeight="1">
      <c r="B91" s="67"/>
      <c r="C91" s="6"/>
      <c r="D91" s="61" t="s">
        <v>343</v>
      </c>
      <c r="E91" s="179"/>
      <c r="F91" s="73"/>
      <c r="G91" s="66"/>
    </row>
    <row r="92" ht="23.25" customHeight="1">
      <c r="B92" s="67"/>
      <c r="C92" s="6"/>
      <c r="D92" s="115" t="s">
        <v>304</v>
      </c>
      <c r="E92" s="118" t="s">
        <v>307</v>
      </c>
      <c r="F92" s="73" t="s">
        <v>11</v>
      </c>
      <c r="G92" s="76"/>
    </row>
    <row r="93" ht="23.25" customHeight="1">
      <c r="B93" s="67"/>
      <c r="C93" s="6"/>
      <c r="D93" s="115" t="s">
        <v>310</v>
      </c>
      <c r="E93" s="118" t="s">
        <v>325</v>
      </c>
      <c r="F93" s="73" t="s">
        <v>11</v>
      </c>
      <c r="G93" s="76"/>
    </row>
    <row r="94" ht="23.25" customHeight="1">
      <c r="B94" s="67"/>
      <c r="C94" s="6"/>
      <c r="D94" s="115" t="s">
        <v>314</v>
      </c>
      <c r="E94" s="118" t="s">
        <v>326</v>
      </c>
      <c r="F94" s="73" t="s">
        <v>11</v>
      </c>
      <c r="G94" s="76"/>
    </row>
    <row r="95" ht="23.25" customHeight="1">
      <c r="B95" s="67"/>
      <c r="C95" s="6"/>
      <c r="D95" s="115" t="s">
        <v>327</v>
      </c>
      <c r="E95" s="118" t="s">
        <v>318</v>
      </c>
      <c r="F95" s="73" t="s">
        <v>11</v>
      </c>
      <c r="G95" s="76"/>
    </row>
    <row r="96" ht="23.25" customHeight="1">
      <c r="B96" s="67"/>
      <c r="C96" s="6"/>
      <c r="D96" s="115" t="s">
        <v>352</v>
      </c>
      <c r="E96" s="118" t="s">
        <v>353</v>
      </c>
      <c r="F96" s="73" t="s">
        <v>11</v>
      </c>
      <c r="G96" s="76"/>
    </row>
    <row r="97" ht="23.25" customHeight="1">
      <c r="B97" s="67"/>
      <c r="C97" s="6"/>
      <c r="D97" s="115" t="s">
        <v>354</v>
      </c>
      <c r="E97" s="118" t="s">
        <v>355</v>
      </c>
      <c r="F97" s="73" t="s">
        <v>11</v>
      </c>
      <c r="G97" s="76"/>
    </row>
    <row r="98" ht="23.25" customHeight="1">
      <c r="B98" s="67"/>
      <c r="C98" s="6"/>
      <c r="D98" s="115" t="s">
        <v>356</v>
      </c>
      <c r="E98" s="118" t="s">
        <v>357</v>
      </c>
      <c r="F98" s="73" t="s">
        <v>11</v>
      </c>
      <c r="G98" s="76"/>
    </row>
    <row r="99" ht="23.25" customHeight="1">
      <c r="B99" s="67"/>
      <c r="C99" s="6"/>
      <c r="D99" s="98" t="s">
        <v>86</v>
      </c>
      <c r="E99" s="99"/>
      <c r="F99" s="73"/>
      <c r="G99" s="102"/>
    </row>
    <row r="100" ht="23.25" customHeight="1">
      <c r="B100" s="67"/>
      <c r="C100" s="6"/>
      <c r="D100" s="104"/>
      <c r="E100" s="105"/>
      <c r="F100" s="73"/>
      <c r="G100" s="188"/>
    </row>
    <row r="101" ht="23.25" customHeight="1">
      <c r="B101" s="67"/>
      <c r="C101" s="6"/>
      <c r="D101" s="61" t="s">
        <v>364</v>
      </c>
      <c r="E101" s="179"/>
      <c r="F101" s="73"/>
      <c r="G101" s="66"/>
    </row>
    <row r="102" ht="23.25" customHeight="1">
      <c r="B102" s="67"/>
      <c r="C102" s="6"/>
      <c r="D102" s="115" t="s">
        <v>304</v>
      </c>
      <c r="E102" s="118" t="s">
        <v>307</v>
      </c>
      <c r="F102" s="73" t="s">
        <v>11</v>
      </c>
      <c r="G102" s="76"/>
    </row>
    <row r="103" ht="23.25" customHeight="1">
      <c r="B103" s="67"/>
      <c r="C103" s="6"/>
      <c r="D103" s="115" t="s">
        <v>310</v>
      </c>
      <c r="E103" s="118" t="s">
        <v>325</v>
      </c>
      <c r="F103" s="73" t="s">
        <v>11</v>
      </c>
      <c r="G103" s="76"/>
    </row>
    <row r="104" ht="23.25" customHeight="1">
      <c r="B104" s="67"/>
      <c r="C104" s="6"/>
      <c r="D104" s="115" t="s">
        <v>314</v>
      </c>
      <c r="E104" s="118" t="s">
        <v>326</v>
      </c>
      <c r="F104" s="73" t="s">
        <v>11</v>
      </c>
      <c r="G104" s="76"/>
    </row>
    <row r="105" ht="23.25" customHeight="1">
      <c r="B105" s="67"/>
      <c r="C105" s="6"/>
      <c r="D105" s="115" t="s">
        <v>327</v>
      </c>
      <c r="E105" s="118" t="s">
        <v>318</v>
      </c>
      <c r="F105" s="73" t="s">
        <v>11</v>
      </c>
      <c r="G105" s="76"/>
    </row>
    <row r="106" ht="23.25" customHeight="1">
      <c r="B106" s="67"/>
      <c r="C106" s="6"/>
      <c r="D106" s="115" t="s">
        <v>352</v>
      </c>
      <c r="E106" s="118" t="s">
        <v>353</v>
      </c>
      <c r="F106" s="73" t="s">
        <v>11</v>
      </c>
      <c r="G106" s="76"/>
    </row>
    <row r="107" ht="23.25" customHeight="1">
      <c r="B107" s="67"/>
      <c r="C107" s="6"/>
      <c r="D107" s="115" t="s">
        <v>373</v>
      </c>
      <c r="E107" s="118" t="s">
        <v>355</v>
      </c>
      <c r="F107" s="73" t="s">
        <v>11</v>
      </c>
      <c r="G107" s="76"/>
    </row>
    <row r="108" ht="23.25" customHeight="1">
      <c r="B108" s="67"/>
      <c r="C108" s="6"/>
      <c r="D108" s="115" t="s">
        <v>377</v>
      </c>
      <c r="E108" s="118" t="s">
        <v>378</v>
      </c>
      <c r="F108" s="73" t="s">
        <v>11</v>
      </c>
      <c r="G108" s="76"/>
    </row>
    <row r="109" ht="23.25" customHeight="1">
      <c r="B109" s="67"/>
      <c r="C109" s="6"/>
      <c r="D109" s="98" t="s">
        <v>86</v>
      </c>
      <c r="E109" s="99"/>
      <c r="F109" s="73"/>
      <c r="G109" s="102"/>
    </row>
    <row r="110" ht="23.25" customHeight="1">
      <c r="B110" s="67"/>
      <c r="C110" s="6"/>
      <c r="D110" s="104"/>
      <c r="E110" s="105"/>
      <c r="F110" s="73"/>
      <c r="G110" s="188"/>
    </row>
    <row r="111" ht="23.25" customHeight="1">
      <c r="B111" s="67"/>
      <c r="C111" s="6"/>
      <c r="D111" s="61" t="s">
        <v>384</v>
      </c>
      <c r="E111" s="179"/>
      <c r="F111" s="73"/>
      <c r="G111" s="66"/>
    </row>
    <row r="112" ht="23.25" customHeight="1">
      <c r="B112" s="67"/>
      <c r="C112" s="6"/>
      <c r="D112" s="115" t="s">
        <v>388</v>
      </c>
      <c r="E112" s="118" t="s">
        <v>390</v>
      </c>
      <c r="F112" s="73" t="s">
        <v>11</v>
      </c>
      <c r="G112" s="76"/>
    </row>
    <row r="113" ht="23.25" customHeight="1">
      <c r="B113" s="67"/>
      <c r="C113" s="6"/>
      <c r="D113" s="115" t="s">
        <v>394</v>
      </c>
      <c r="E113" s="118" t="s">
        <v>396</v>
      </c>
      <c r="F113" s="73" t="s">
        <v>11</v>
      </c>
      <c r="G113" s="76"/>
    </row>
    <row r="114" ht="23.25" customHeight="1">
      <c r="B114" s="67"/>
      <c r="C114" s="6"/>
      <c r="D114" s="115" t="s">
        <v>398</v>
      </c>
      <c r="E114" s="118" t="s">
        <v>399</v>
      </c>
      <c r="F114" s="73" t="s">
        <v>11</v>
      </c>
      <c r="G114" s="76"/>
    </row>
    <row r="115" ht="23.25" customHeight="1">
      <c r="B115" s="67"/>
      <c r="C115" s="6"/>
      <c r="D115" s="115" t="s">
        <v>402</v>
      </c>
      <c r="E115" s="118" t="s">
        <v>403</v>
      </c>
      <c r="F115" s="73" t="s">
        <v>11</v>
      </c>
      <c r="G115" s="76"/>
    </row>
    <row r="116" ht="23.25" customHeight="1">
      <c r="B116" s="67"/>
      <c r="C116" s="6"/>
      <c r="D116" s="115" t="s">
        <v>407</v>
      </c>
      <c r="E116" s="118" t="s">
        <v>408</v>
      </c>
      <c r="F116" s="73" t="s">
        <v>11</v>
      </c>
      <c r="G116" s="76"/>
    </row>
    <row r="117" ht="23.25" customHeight="1">
      <c r="B117" s="67"/>
      <c r="C117" s="6"/>
      <c r="D117" s="115" t="s">
        <v>410</v>
      </c>
      <c r="E117" s="118" t="s">
        <v>411</v>
      </c>
      <c r="F117" s="73" t="s">
        <v>11</v>
      </c>
      <c r="G117" s="76"/>
    </row>
    <row r="118" ht="23.25" customHeight="1">
      <c r="B118" s="67"/>
      <c r="C118" s="6"/>
      <c r="D118" s="115" t="s">
        <v>415</v>
      </c>
      <c r="E118" s="118" t="s">
        <v>416</v>
      </c>
      <c r="F118" s="73" t="s">
        <v>11</v>
      </c>
      <c r="G118" s="76"/>
    </row>
    <row r="119" ht="23.25" customHeight="1">
      <c r="B119" s="67"/>
      <c r="C119" s="6"/>
      <c r="D119" s="115" t="s">
        <v>418</v>
      </c>
      <c r="E119" s="118" t="s">
        <v>420</v>
      </c>
      <c r="F119" s="73" t="s">
        <v>11</v>
      </c>
      <c r="G119" s="76"/>
    </row>
    <row r="120" ht="36.75" customHeight="1">
      <c r="B120" s="67"/>
      <c r="C120" s="6"/>
      <c r="D120" s="115" t="s">
        <v>421</v>
      </c>
      <c r="E120" s="118" t="s">
        <v>422</v>
      </c>
      <c r="F120" s="73" t="s">
        <v>11</v>
      </c>
      <c r="G120" s="76"/>
    </row>
    <row r="121" ht="23.25" customHeight="1">
      <c r="B121" s="67"/>
      <c r="C121" s="6"/>
      <c r="D121" s="115" t="s">
        <v>427</v>
      </c>
      <c r="E121" s="118" t="s">
        <v>428</v>
      </c>
      <c r="F121" s="73" t="s">
        <v>11</v>
      </c>
      <c r="G121" s="76"/>
    </row>
    <row r="122" ht="23.25" customHeight="1">
      <c r="B122" s="67"/>
      <c r="C122" s="6"/>
      <c r="D122" s="98" t="s">
        <v>86</v>
      </c>
      <c r="E122" s="99"/>
      <c r="F122" s="73" t="s">
        <v>11</v>
      </c>
      <c r="G122" s="102"/>
    </row>
    <row r="123" ht="23.25" customHeight="1">
      <c r="B123" s="67"/>
      <c r="C123" s="6"/>
      <c r="D123" s="104"/>
      <c r="E123" s="105"/>
      <c r="F123" s="73" t="s">
        <v>11</v>
      </c>
      <c r="G123" s="188"/>
    </row>
    <row r="124" ht="23.25" customHeight="1">
      <c r="B124" s="67"/>
      <c r="C124" s="6"/>
      <c r="D124" s="61" t="s">
        <v>435</v>
      </c>
      <c r="E124" s="179"/>
      <c r="F124" s="73" t="s">
        <v>11</v>
      </c>
      <c r="G124" s="66"/>
    </row>
    <row r="125" ht="23.25" customHeight="1">
      <c r="B125" s="67"/>
      <c r="C125" s="6"/>
      <c r="D125" s="115" t="s">
        <v>438</v>
      </c>
      <c r="E125" s="118" t="s">
        <v>439</v>
      </c>
      <c r="F125" s="73" t="s">
        <v>11</v>
      </c>
      <c r="G125" s="76"/>
    </row>
    <row r="126" ht="23.25" customHeight="1">
      <c r="B126" s="67"/>
      <c r="C126" s="6"/>
      <c r="D126" s="115" t="s">
        <v>443</v>
      </c>
      <c r="E126" s="118" t="s">
        <v>444</v>
      </c>
      <c r="F126" s="73" t="s">
        <v>11</v>
      </c>
      <c r="G126" s="76"/>
    </row>
    <row r="127" ht="23.25" customHeight="1">
      <c r="B127" s="67"/>
      <c r="C127" s="6"/>
      <c r="D127" s="115" t="s">
        <v>446</v>
      </c>
      <c r="E127" s="118" t="s">
        <v>447</v>
      </c>
      <c r="F127" s="73" t="s">
        <v>11</v>
      </c>
      <c r="G127" s="76"/>
    </row>
    <row r="128" ht="55.5" customHeight="1">
      <c r="B128" s="67"/>
      <c r="C128" s="6"/>
      <c r="D128" s="115" t="s">
        <v>450</v>
      </c>
      <c r="E128" s="118" t="s">
        <v>451</v>
      </c>
      <c r="F128" s="73" t="s">
        <v>11</v>
      </c>
      <c r="G128" s="76"/>
    </row>
    <row r="129" ht="23.25" customHeight="1">
      <c r="B129" s="67"/>
      <c r="C129" s="6"/>
      <c r="D129" s="115" t="s">
        <v>454</v>
      </c>
      <c r="E129" s="118" t="s">
        <v>455</v>
      </c>
      <c r="F129" s="73" t="s">
        <v>11</v>
      </c>
      <c r="G129" s="76"/>
    </row>
    <row r="130" ht="23.25" customHeight="1">
      <c r="B130" s="67"/>
      <c r="C130" s="6"/>
      <c r="D130" s="115" t="s">
        <v>458</v>
      </c>
      <c r="E130" s="118" t="s">
        <v>459</v>
      </c>
      <c r="F130" s="73" t="s">
        <v>11</v>
      </c>
      <c r="G130" s="76"/>
    </row>
    <row r="131" ht="23.25" customHeight="1">
      <c r="B131" s="67"/>
      <c r="C131" s="6"/>
      <c r="D131" s="115" t="s">
        <v>464</v>
      </c>
      <c r="E131" s="118" t="s">
        <v>465</v>
      </c>
      <c r="F131" s="73" t="s">
        <v>11</v>
      </c>
      <c r="G131" s="76"/>
    </row>
    <row r="132" ht="23.25" customHeight="1">
      <c r="B132" s="67"/>
      <c r="C132" s="6"/>
      <c r="D132" s="115" t="s">
        <v>467</v>
      </c>
      <c r="E132" s="118" t="s">
        <v>468</v>
      </c>
      <c r="F132" s="73" t="s">
        <v>11</v>
      </c>
      <c r="G132" s="76"/>
    </row>
    <row r="133" ht="39.75" customHeight="1">
      <c r="B133" s="67"/>
      <c r="C133" s="6"/>
      <c r="D133" s="115" t="s">
        <v>472</v>
      </c>
      <c r="E133" s="118" t="s">
        <v>474</v>
      </c>
      <c r="F133" s="73" t="s">
        <v>11</v>
      </c>
      <c r="G133" s="76"/>
    </row>
    <row r="134" ht="23.25" customHeight="1">
      <c r="B134" s="67"/>
      <c r="C134" s="6"/>
      <c r="D134" s="115" t="s">
        <v>476</v>
      </c>
      <c r="E134" s="118" t="s">
        <v>478</v>
      </c>
      <c r="F134" s="73" t="s">
        <v>11</v>
      </c>
      <c r="G134" s="76"/>
    </row>
    <row r="135" ht="23.25" customHeight="1">
      <c r="B135" s="67"/>
      <c r="C135" s="6"/>
      <c r="D135" s="115" t="s">
        <v>480</v>
      </c>
      <c r="E135" s="118" t="s">
        <v>481</v>
      </c>
      <c r="F135" s="73" t="s">
        <v>11</v>
      </c>
      <c r="G135" s="76"/>
    </row>
    <row r="136" ht="23.25" customHeight="1">
      <c r="B136" s="67"/>
      <c r="C136" s="6"/>
      <c r="D136" s="115" t="s">
        <v>484</v>
      </c>
      <c r="E136" s="118" t="s">
        <v>485</v>
      </c>
      <c r="F136" s="73" t="s">
        <v>11</v>
      </c>
      <c r="G136" s="76"/>
    </row>
    <row r="137" ht="23.25" customHeight="1">
      <c r="B137" s="67"/>
      <c r="C137" s="6"/>
      <c r="D137" s="115" t="s">
        <v>488</v>
      </c>
      <c r="E137" s="118" t="s">
        <v>489</v>
      </c>
      <c r="F137" s="73" t="s">
        <v>11</v>
      </c>
      <c r="G137" s="76"/>
    </row>
    <row r="138" ht="23.25" customHeight="1">
      <c r="B138" s="67"/>
      <c r="C138" s="6"/>
      <c r="D138" s="115" t="s">
        <v>492</v>
      </c>
      <c r="E138" s="118" t="s">
        <v>493</v>
      </c>
      <c r="F138" s="73" t="s">
        <v>11</v>
      </c>
      <c r="G138" s="76"/>
    </row>
    <row r="139" ht="23.25" customHeight="1">
      <c r="B139" s="67"/>
      <c r="C139" s="6"/>
      <c r="D139" s="115" t="s">
        <v>496</v>
      </c>
      <c r="E139" s="118" t="s">
        <v>498</v>
      </c>
      <c r="F139" s="73" t="s">
        <v>11</v>
      </c>
      <c r="G139" s="76"/>
    </row>
    <row r="140" ht="23.25" customHeight="1">
      <c r="B140" s="67"/>
      <c r="C140" s="6"/>
      <c r="D140" s="115" t="s">
        <v>499</v>
      </c>
      <c r="E140" s="118" t="s">
        <v>500</v>
      </c>
      <c r="F140" s="73" t="s">
        <v>11</v>
      </c>
      <c r="G140" s="76"/>
    </row>
    <row r="141" ht="23.25" customHeight="1">
      <c r="B141" s="67"/>
      <c r="C141" s="6"/>
      <c r="D141" s="115" t="s">
        <v>503</v>
      </c>
      <c r="E141" s="118" t="s">
        <v>504</v>
      </c>
      <c r="F141" s="73" t="s">
        <v>11</v>
      </c>
      <c r="G141" s="76"/>
    </row>
    <row r="142" ht="23.25" customHeight="1">
      <c r="B142" s="67"/>
      <c r="C142" s="6"/>
      <c r="D142" s="115" t="s">
        <v>505</v>
      </c>
      <c r="E142" s="118" t="s">
        <v>507</v>
      </c>
      <c r="F142" s="73" t="s">
        <v>11</v>
      </c>
      <c r="G142" s="76"/>
    </row>
    <row r="143" ht="23.25" customHeight="1">
      <c r="B143" s="67"/>
      <c r="C143" s="6"/>
      <c r="D143" s="115" t="s">
        <v>509</v>
      </c>
      <c r="E143" s="118" t="s">
        <v>510</v>
      </c>
      <c r="F143" s="73" t="s">
        <v>11</v>
      </c>
      <c r="G143" s="76"/>
    </row>
    <row r="144" ht="23.25" customHeight="1">
      <c r="B144" s="67"/>
      <c r="C144" s="6"/>
      <c r="D144" s="115" t="s">
        <v>511</v>
      </c>
      <c r="E144" s="118" t="s">
        <v>512</v>
      </c>
      <c r="F144" s="73" t="s">
        <v>11</v>
      </c>
      <c r="G144" s="76"/>
    </row>
    <row r="145" ht="23.25" customHeight="1">
      <c r="B145" s="67"/>
      <c r="C145" s="6"/>
      <c r="D145" s="115" t="s">
        <v>513</v>
      </c>
      <c r="E145" s="227" t="s">
        <v>514</v>
      </c>
      <c r="F145" s="73" t="s">
        <v>11</v>
      </c>
      <c r="G145" s="76"/>
    </row>
    <row r="146" ht="23.25" customHeight="1">
      <c r="B146" s="67"/>
      <c r="C146" s="6"/>
      <c r="D146" s="115" t="s">
        <v>517</v>
      </c>
      <c r="E146" s="118" t="s">
        <v>518</v>
      </c>
      <c r="F146" s="73" t="s">
        <v>11</v>
      </c>
      <c r="G146" s="76"/>
    </row>
    <row r="147" ht="23.25" customHeight="1">
      <c r="B147" s="67"/>
      <c r="C147" s="6"/>
      <c r="D147" s="115" t="s">
        <v>519</v>
      </c>
      <c r="E147" s="118" t="s">
        <v>520</v>
      </c>
      <c r="F147" s="73" t="s">
        <v>11</v>
      </c>
      <c r="G147" s="76"/>
    </row>
    <row r="148" ht="23.25" customHeight="1">
      <c r="B148" s="67"/>
      <c r="C148" s="6"/>
      <c r="D148" s="98" t="s">
        <v>86</v>
      </c>
      <c r="E148" s="99"/>
      <c r="F148" s="73" t="s">
        <v>11</v>
      </c>
      <c r="G148" s="102"/>
    </row>
    <row r="149" ht="23.25" customHeight="1">
      <c r="B149" s="67"/>
      <c r="C149" s="6"/>
      <c r="D149" s="104"/>
      <c r="E149" s="105"/>
      <c r="F149" s="73" t="s">
        <v>11</v>
      </c>
      <c r="G149" s="188"/>
    </row>
    <row r="150" ht="23.25" customHeight="1">
      <c r="B150" s="67"/>
      <c r="C150" s="6"/>
      <c r="D150" s="61" t="s">
        <v>526</v>
      </c>
      <c r="E150" s="179"/>
      <c r="F150" s="73" t="s">
        <v>11</v>
      </c>
      <c r="G150" s="66"/>
    </row>
    <row r="151" ht="23.25" customHeight="1">
      <c r="B151" s="67"/>
      <c r="C151" s="6"/>
      <c r="D151" s="115" t="s">
        <v>304</v>
      </c>
      <c r="E151" s="118" t="s">
        <v>307</v>
      </c>
      <c r="F151" s="73" t="s">
        <v>11</v>
      </c>
      <c r="G151" s="76"/>
    </row>
    <row r="152" ht="23.25" customHeight="1">
      <c r="B152" s="67"/>
      <c r="C152" s="6"/>
      <c r="D152" s="115" t="s">
        <v>310</v>
      </c>
      <c r="E152" s="118" t="s">
        <v>325</v>
      </c>
      <c r="F152" s="73" t="s">
        <v>11</v>
      </c>
      <c r="G152" s="76"/>
    </row>
    <row r="153" ht="23.25" customHeight="1">
      <c r="B153" s="67"/>
      <c r="C153" s="6"/>
      <c r="D153" s="115" t="s">
        <v>314</v>
      </c>
      <c r="E153" s="118" t="s">
        <v>326</v>
      </c>
      <c r="F153" s="73" t="s">
        <v>11</v>
      </c>
      <c r="G153" s="76"/>
    </row>
    <row r="154" ht="23.25" customHeight="1">
      <c r="B154" s="67"/>
      <c r="C154" s="6"/>
      <c r="D154" s="115" t="s">
        <v>327</v>
      </c>
      <c r="E154" s="118" t="s">
        <v>318</v>
      </c>
      <c r="F154" s="73" t="s">
        <v>11</v>
      </c>
      <c r="G154" s="76"/>
    </row>
    <row r="155" ht="23.25" customHeight="1">
      <c r="B155" s="67"/>
      <c r="C155" s="6"/>
      <c r="D155" s="115" t="s">
        <v>532</v>
      </c>
      <c r="E155" s="118" t="s">
        <v>534</v>
      </c>
      <c r="F155" s="73" t="s">
        <v>11</v>
      </c>
      <c r="G155" s="76"/>
    </row>
    <row r="156" ht="23.25" customHeight="1">
      <c r="B156" s="67"/>
      <c r="C156" s="6"/>
      <c r="D156" s="115" t="s">
        <v>537</v>
      </c>
      <c r="E156" s="118" t="s">
        <v>538</v>
      </c>
      <c r="F156" s="73" t="s">
        <v>11</v>
      </c>
      <c r="G156" s="76"/>
    </row>
    <row r="157" ht="23.25" customHeight="1">
      <c r="B157" s="67"/>
      <c r="C157" s="6"/>
      <c r="D157" s="115" t="s">
        <v>540</v>
      </c>
      <c r="E157" s="118" t="s">
        <v>541</v>
      </c>
      <c r="F157" s="73" t="s">
        <v>11</v>
      </c>
      <c r="G157" s="76"/>
    </row>
    <row r="158" ht="23.25" customHeight="1">
      <c r="B158" s="67"/>
      <c r="C158" s="6"/>
      <c r="D158" s="115" t="s">
        <v>544</v>
      </c>
      <c r="E158" s="118" t="s">
        <v>546</v>
      </c>
      <c r="F158" s="73" t="s">
        <v>11</v>
      </c>
      <c r="G158" s="76"/>
    </row>
    <row r="159" ht="23.25" customHeight="1">
      <c r="B159" s="67"/>
      <c r="C159" s="6"/>
      <c r="D159" s="115" t="s">
        <v>548</v>
      </c>
      <c r="E159" s="118" t="s">
        <v>549</v>
      </c>
      <c r="F159" s="73" t="s">
        <v>11</v>
      </c>
      <c r="G159" s="76"/>
    </row>
    <row r="160" ht="23.25" customHeight="1">
      <c r="B160" s="67"/>
      <c r="C160" s="6"/>
      <c r="D160" s="98" t="s">
        <v>86</v>
      </c>
      <c r="E160" s="99"/>
      <c r="F160" s="73" t="s">
        <v>11</v>
      </c>
      <c r="G160" s="102"/>
    </row>
    <row r="161" ht="23.25" customHeight="1">
      <c r="B161" s="67"/>
      <c r="C161" s="6"/>
      <c r="D161" s="104"/>
      <c r="E161" s="105"/>
      <c r="F161" s="73" t="s">
        <v>11</v>
      </c>
      <c r="G161" s="188"/>
    </row>
    <row r="162" ht="23.25" customHeight="1">
      <c r="B162" s="67"/>
      <c r="C162" s="6"/>
      <c r="D162" s="61" t="s">
        <v>555</v>
      </c>
      <c r="E162" s="179"/>
      <c r="F162" s="73" t="s">
        <v>11</v>
      </c>
      <c r="G162" s="66"/>
    </row>
    <row r="163" ht="23.25" customHeight="1">
      <c r="B163" s="67"/>
      <c r="C163" s="6"/>
      <c r="D163" s="327" t="s">
        <v>304</v>
      </c>
      <c r="E163" s="329" t="s">
        <v>307</v>
      </c>
      <c r="F163" s="73" t="s">
        <v>11</v>
      </c>
      <c r="G163" s="76"/>
    </row>
    <row r="164" ht="23.25" customHeight="1">
      <c r="B164" s="67"/>
      <c r="C164" s="6"/>
      <c r="D164" s="331" t="s">
        <v>310</v>
      </c>
      <c r="E164" s="332" t="s">
        <v>567</v>
      </c>
      <c r="F164" s="73" t="s">
        <v>11</v>
      </c>
      <c r="G164" s="76"/>
    </row>
    <row r="165" ht="23.25" customHeight="1">
      <c r="B165" s="67"/>
      <c r="C165" s="6"/>
      <c r="D165" s="331" t="s">
        <v>314</v>
      </c>
      <c r="E165" s="332" t="s">
        <v>315</v>
      </c>
      <c r="F165" s="73" t="s">
        <v>11</v>
      </c>
      <c r="G165" s="76"/>
    </row>
    <row r="166" ht="23.25" customHeight="1">
      <c r="B166" s="67"/>
      <c r="C166" s="6"/>
      <c r="D166" s="331" t="s">
        <v>327</v>
      </c>
      <c r="E166" s="332" t="s">
        <v>573</v>
      </c>
      <c r="F166" s="73" t="s">
        <v>11</v>
      </c>
      <c r="G166" s="76"/>
    </row>
    <row r="167" ht="23.25" customHeight="1">
      <c r="B167" s="67"/>
      <c r="C167" s="6"/>
      <c r="D167" s="336" t="s">
        <v>576</v>
      </c>
      <c r="E167" s="332"/>
      <c r="F167" s="73" t="s">
        <v>11</v>
      </c>
      <c r="G167" s="76"/>
    </row>
    <row r="168" ht="42.0" customHeight="1">
      <c r="B168" s="67"/>
      <c r="C168" s="6"/>
      <c r="D168" s="331" t="s">
        <v>579</v>
      </c>
      <c r="E168" s="332" t="s">
        <v>580</v>
      </c>
      <c r="F168" s="73" t="s">
        <v>11</v>
      </c>
      <c r="G168" s="76"/>
    </row>
    <row r="169" ht="23.25" customHeight="1">
      <c r="B169" s="67"/>
      <c r="C169" s="6"/>
      <c r="D169" s="331" t="s">
        <v>583</v>
      </c>
      <c r="E169" s="332" t="s">
        <v>584</v>
      </c>
      <c r="F169" s="73" t="s">
        <v>11</v>
      </c>
      <c r="G169" s="76"/>
    </row>
    <row r="170" ht="54.75" customHeight="1">
      <c r="B170" s="67"/>
      <c r="C170" s="6"/>
      <c r="D170" s="331" t="s">
        <v>585</v>
      </c>
      <c r="E170" s="332" t="s">
        <v>586</v>
      </c>
      <c r="F170" s="73" t="s">
        <v>11</v>
      </c>
      <c r="G170" s="76"/>
    </row>
    <row r="171" ht="54.75" customHeight="1">
      <c r="B171" s="67"/>
      <c r="C171" s="6"/>
      <c r="D171" s="98" t="s">
        <v>86</v>
      </c>
      <c r="E171" s="99"/>
      <c r="F171" s="73" t="s">
        <v>11</v>
      </c>
      <c r="G171" s="102"/>
    </row>
    <row r="172" ht="54.75" customHeight="1">
      <c r="B172" s="67"/>
      <c r="C172" s="6"/>
      <c r="D172" s="104"/>
      <c r="E172" s="105"/>
      <c r="F172" s="73" t="s">
        <v>11</v>
      </c>
      <c r="G172" s="188"/>
    </row>
    <row r="173" ht="54.75" customHeight="1">
      <c r="B173" s="67"/>
      <c r="C173" s="6"/>
      <c r="D173" s="61" t="s">
        <v>592</v>
      </c>
      <c r="E173" s="179"/>
      <c r="F173" s="73" t="s">
        <v>11</v>
      </c>
      <c r="G173" s="66"/>
    </row>
    <row r="174" ht="54.75" customHeight="1">
      <c r="B174" s="67"/>
      <c r="C174" s="6"/>
      <c r="D174" s="115" t="s">
        <v>304</v>
      </c>
      <c r="E174" s="118" t="s">
        <v>307</v>
      </c>
      <c r="F174" s="73" t="s">
        <v>11</v>
      </c>
      <c r="G174" s="76"/>
    </row>
    <row r="175" ht="23.25" customHeight="1">
      <c r="B175" s="67"/>
      <c r="C175" s="6"/>
      <c r="D175" s="115" t="s">
        <v>310</v>
      </c>
      <c r="E175" s="118" t="s">
        <v>325</v>
      </c>
      <c r="F175" s="73" t="s">
        <v>11</v>
      </c>
      <c r="G175" s="76"/>
    </row>
    <row r="176" ht="23.25" customHeight="1">
      <c r="B176" s="67"/>
      <c r="C176" s="6"/>
      <c r="D176" s="115" t="s">
        <v>314</v>
      </c>
      <c r="E176" s="118" t="s">
        <v>326</v>
      </c>
      <c r="F176" s="73" t="s">
        <v>11</v>
      </c>
      <c r="G176" s="76"/>
    </row>
    <row r="177" ht="23.25" customHeight="1">
      <c r="B177" s="67"/>
      <c r="C177" s="6"/>
      <c r="D177" s="115" t="s">
        <v>327</v>
      </c>
      <c r="E177" s="118" t="s">
        <v>318</v>
      </c>
      <c r="F177" s="73" t="s">
        <v>11</v>
      </c>
      <c r="G177" s="76"/>
    </row>
    <row r="178" ht="23.25" customHeight="1">
      <c r="B178" s="67"/>
      <c r="C178" s="6"/>
      <c r="D178" s="115" t="s">
        <v>598</v>
      </c>
      <c r="E178" s="118" t="s">
        <v>599</v>
      </c>
      <c r="F178" s="73" t="s">
        <v>11</v>
      </c>
      <c r="G178" s="76"/>
    </row>
    <row r="179" ht="23.25" customHeight="1">
      <c r="B179" s="67"/>
      <c r="C179" s="6"/>
      <c r="D179" s="341" t="s">
        <v>602</v>
      </c>
      <c r="E179" s="118"/>
      <c r="F179" s="73" t="s">
        <v>11</v>
      </c>
      <c r="G179" s="76"/>
    </row>
    <row r="180" ht="23.25" customHeight="1">
      <c r="B180" s="67"/>
      <c r="C180" s="6"/>
      <c r="D180" s="115" t="s">
        <v>604</v>
      </c>
      <c r="E180" s="118" t="s">
        <v>605</v>
      </c>
      <c r="F180" s="73" t="s">
        <v>11</v>
      </c>
      <c r="G180" s="76"/>
    </row>
    <row r="181" ht="23.25" customHeight="1">
      <c r="B181" s="67"/>
      <c r="C181" s="6"/>
      <c r="D181" s="115" t="s">
        <v>607</v>
      </c>
      <c r="E181" s="118" t="s">
        <v>608</v>
      </c>
      <c r="F181" s="73" t="s">
        <v>11</v>
      </c>
      <c r="G181" s="76"/>
    </row>
    <row r="182" ht="23.25" customHeight="1">
      <c r="B182" s="67"/>
      <c r="C182" s="6"/>
      <c r="D182" s="115" t="s">
        <v>610</v>
      </c>
      <c r="E182" s="118" t="s">
        <v>611</v>
      </c>
      <c r="F182" s="73" t="s">
        <v>11</v>
      </c>
      <c r="G182" s="76"/>
    </row>
    <row r="183" ht="23.25" customHeight="1">
      <c r="B183" s="67"/>
      <c r="C183" s="6"/>
      <c r="D183" s="115" t="s">
        <v>613</v>
      </c>
      <c r="E183" s="118" t="s">
        <v>614</v>
      </c>
      <c r="F183" s="73" t="s">
        <v>11</v>
      </c>
      <c r="G183" s="76"/>
    </row>
    <row r="184" ht="23.25" customHeight="1">
      <c r="B184" s="67"/>
      <c r="C184" s="6"/>
      <c r="D184" s="115" t="s">
        <v>616</v>
      </c>
      <c r="E184" s="118" t="s">
        <v>575</v>
      </c>
      <c r="F184" s="73" t="s">
        <v>11</v>
      </c>
      <c r="G184" s="76"/>
    </row>
    <row r="185" ht="23.25" customHeight="1">
      <c r="B185" s="67"/>
      <c r="C185" s="6"/>
      <c r="D185" s="341" t="s">
        <v>617</v>
      </c>
      <c r="E185" s="118"/>
      <c r="F185" s="73" t="s">
        <v>11</v>
      </c>
      <c r="G185" s="76"/>
    </row>
    <row r="186" ht="23.25" customHeight="1">
      <c r="B186" s="67"/>
      <c r="C186" s="6"/>
      <c r="D186" s="115" t="s">
        <v>620</v>
      </c>
      <c r="E186" s="118" t="s">
        <v>621</v>
      </c>
      <c r="F186" s="73" t="s">
        <v>11</v>
      </c>
      <c r="G186" s="76"/>
    </row>
    <row r="187" ht="23.25" customHeight="1">
      <c r="B187" s="67"/>
      <c r="C187" s="6"/>
      <c r="D187" s="115" t="s">
        <v>623</v>
      </c>
      <c r="E187" s="118" t="s">
        <v>624</v>
      </c>
      <c r="F187" s="73" t="s">
        <v>11</v>
      </c>
      <c r="G187" s="76"/>
    </row>
    <row r="188" ht="23.25" customHeight="1">
      <c r="B188" s="67"/>
      <c r="C188" s="6"/>
      <c r="D188" s="115" t="s">
        <v>626</v>
      </c>
      <c r="E188" s="118" t="s">
        <v>628</v>
      </c>
      <c r="F188" s="73" t="s">
        <v>11</v>
      </c>
      <c r="G188" s="76"/>
    </row>
    <row r="189" ht="23.25" customHeight="1">
      <c r="B189" s="67"/>
      <c r="C189" s="6"/>
      <c r="D189" s="115" t="s">
        <v>631</v>
      </c>
      <c r="E189" s="118" t="s">
        <v>632</v>
      </c>
      <c r="F189" s="73" t="s">
        <v>11</v>
      </c>
      <c r="G189" s="76"/>
    </row>
    <row r="190" ht="23.25" customHeight="1">
      <c r="B190" s="67"/>
      <c r="C190" s="6"/>
      <c r="D190" s="115" t="s">
        <v>635</v>
      </c>
      <c r="E190" s="118" t="s">
        <v>636</v>
      </c>
      <c r="F190" s="73" t="s">
        <v>11</v>
      </c>
      <c r="G190" s="76"/>
    </row>
    <row r="191" ht="23.25" customHeight="1">
      <c r="B191" s="67"/>
      <c r="C191" s="6"/>
      <c r="D191" s="115" t="s">
        <v>574</v>
      </c>
      <c r="E191" s="118" t="s">
        <v>637</v>
      </c>
      <c r="F191" s="73" t="s">
        <v>11</v>
      </c>
      <c r="G191" s="76"/>
    </row>
    <row r="192" ht="23.25" customHeight="1">
      <c r="B192" s="67"/>
      <c r="C192" s="6"/>
      <c r="D192" s="115" t="s">
        <v>638</v>
      </c>
      <c r="E192" s="118" t="s">
        <v>639</v>
      </c>
      <c r="F192" s="73" t="s">
        <v>11</v>
      </c>
      <c r="G192" s="76"/>
    </row>
    <row r="193" ht="23.25" customHeight="1">
      <c r="B193" s="67"/>
      <c r="C193" s="6"/>
      <c r="D193" s="341" t="s">
        <v>641</v>
      </c>
      <c r="E193" s="118"/>
      <c r="F193" s="73" t="s">
        <v>11</v>
      </c>
      <c r="G193" s="76"/>
    </row>
    <row r="194" ht="23.25" customHeight="1">
      <c r="B194" s="67"/>
      <c r="C194" s="6"/>
      <c r="D194" s="115" t="s">
        <v>644</v>
      </c>
      <c r="E194" s="118" t="s">
        <v>645</v>
      </c>
      <c r="F194" s="73" t="s">
        <v>11</v>
      </c>
      <c r="G194" s="76"/>
    </row>
    <row r="195" ht="23.25" customHeight="1">
      <c r="B195" s="67"/>
      <c r="C195" s="6"/>
      <c r="D195" s="341" t="s">
        <v>646</v>
      </c>
      <c r="E195" s="118"/>
      <c r="F195" s="73" t="s">
        <v>11</v>
      </c>
      <c r="G195" s="76"/>
    </row>
    <row r="196" ht="23.25" customHeight="1">
      <c r="B196" s="67"/>
      <c r="C196" s="6"/>
      <c r="D196" s="115" t="s">
        <v>633</v>
      </c>
      <c r="E196" s="118" t="s">
        <v>649</v>
      </c>
      <c r="F196" s="73" t="s">
        <v>11</v>
      </c>
      <c r="G196" s="76"/>
    </row>
    <row r="197" ht="23.25" customHeight="1">
      <c r="B197" s="67"/>
      <c r="C197" s="6"/>
      <c r="D197" s="341" t="s">
        <v>650</v>
      </c>
      <c r="E197" s="118"/>
      <c r="F197" s="73" t="s">
        <v>11</v>
      </c>
      <c r="G197" s="76"/>
    </row>
    <row r="198" ht="23.25" customHeight="1">
      <c r="B198" s="67"/>
      <c r="C198" s="6"/>
      <c r="D198" s="115" t="s">
        <v>651</v>
      </c>
      <c r="E198" s="118" t="s">
        <v>652</v>
      </c>
      <c r="F198" s="73" t="s">
        <v>11</v>
      </c>
      <c r="G198" s="76"/>
    </row>
    <row r="199" ht="23.25" customHeight="1">
      <c r="B199" s="67"/>
      <c r="C199" s="6"/>
      <c r="D199" s="347" t="s">
        <v>86</v>
      </c>
      <c r="E199" s="348"/>
      <c r="F199" s="73" t="s">
        <v>11</v>
      </c>
      <c r="G199" s="102"/>
    </row>
    <row r="200" ht="23.25" customHeight="1">
      <c r="B200" s="67"/>
      <c r="C200" s="6"/>
      <c r="D200" s="349"/>
      <c r="E200" s="350"/>
      <c r="F200" s="73" t="s">
        <v>11</v>
      </c>
      <c r="G200" s="188"/>
    </row>
    <row r="201" ht="23.25" customHeight="1">
      <c r="B201" s="67"/>
      <c r="C201" s="6"/>
      <c r="D201" s="61" t="s">
        <v>660</v>
      </c>
      <c r="E201" s="180"/>
      <c r="F201" s="73" t="s">
        <v>11</v>
      </c>
      <c r="G201" s="66"/>
    </row>
    <row r="202" ht="23.25" customHeight="1">
      <c r="B202" s="67"/>
      <c r="C202" s="6"/>
      <c r="D202" s="327" t="s">
        <v>304</v>
      </c>
      <c r="E202" s="329" t="s">
        <v>307</v>
      </c>
      <c r="F202" s="73" t="s">
        <v>11</v>
      </c>
      <c r="G202" s="76"/>
    </row>
    <row r="203" ht="23.25" customHeight="1">
      <c r="B203" s="67"/>
      <c r="C203" s="6"/>
      <c r="D203" s="331" t="s">
        <v>310</v>
      </c>
      <c r="E203" s="332" t="s">
        <v>325</v>
      </c>
      <c r="F203" s="73" t="s">
        <v>11</v>
      </c>
      <c r="G203" s="76"/>
    </row>
    <row r="204" ht="23.25" customHeight="1">
      <c r="B204" s="67"/>
      <c r="C204" s="6"/>
      <c r="D204" s="331" t="s">
        <v>314</v>
      </c>
      <c r="E204" s="332" t="s">
        <v>326</v>
      </c>
      <c r="F204" s="73" t="s">
        <v>11</v>
      </c>
      <c r="G204" s="76"/>
    </row>
    <row r="205" ht="23.25" customHeight="1">
      <c r="B205" s="67"/>
      <c r="C205" s="6"/>
      <c r="D205" s="331" t="s">
        <v>327</v>
      </c>
      <c r="E205" s="332" t="s">
        <v>318</v>
      </c>
      <c r="F205" s="73" t="s">
        <v>11</v>
      </c>
      <c r="G205" s="76"/>
    </row>
    <row r="206" ht="23.25" customHeight="1">
      <c r="B206" s="67"/>
      <c r="C206" s="6"/>
      <c r="D206" s="336" t="s">
        <v>576</v>
      </c>
      <c r="E206" s="332"/>
      <c r="F206" s="73" t="s">
        <v>11</v>
      </c>
      <c r="G206" s="76"/>
    </row>
    <row r="207" ht="55.5" customHeight="1">
      <c r="B207" s="67"/>
      <c r="C207" s="6"/>
      <c r="D207" s="331" t="s">
        <v>579</v>
      </c>
      <c r="E207" s="332" t="s">
        <v>580</v>
      </c>
      <c r="F207" s="73" t="s">
        <v>11</v>
      </c>
      <c r="G207" s="76"/>
    </row>
    <row r="208" ht="23.25" customHeight="1">
      <c r="B208" s="67"/>
      <c r="C208" s="6"/>
      <c r="D208" s="331" t="s">
        <v>669</v>
      </c>
      <c r="E208" s="332" t="s">
        <v>670</v>
      </c>
      <c r="F208" s="73" t="s">
        <v>11</v>
      </c>
      <c r="G208" s="76"/>
    </row>
    <row r="209" ht="23.25" customHeight="1">
      <c r="B209" s="67"/>
      <c r="C209" s="6"/>
      <c r="D209" s="98" t="s">
        <v>86</v>
      </c>
      <c r="E209" s="99"/>
      <c r="F209" s="73"/>
      <c r="G209" s="102"/>
    </row>
    <row r="210" ht="23.25" customHeight="1">
      <c r="B210" s="67"/>
      <c r="C210" s="6"/>
      <c r="D210" s="349"/>
      <c r="E210" s="350"/>
      <c r="F210" s="107"/>
      <c r="G210" s="188"/>
    </row>
    <row r="211" ht="12.0" customHeight="1">
      <c r="B211" s="103"/>
      <c r="C211" s="6"/>
      <c r="D211" s="104"/>
      <c r="E211" s="105"/>
      <c r="F211" s="107"/>
      <c r="G211" s="109"/>
    </row>
    <row r="212" ht="12.0" customHeight="1">
      <c r="B212" s="107"/>
      <c r="C212" s="6"/>
      <c r="D212" s="250"/>
      <c r="E212" s="252"/>
      <c r="F212" s="354"/>
      <c r="G212" s="254"/>
    </row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5:F5"/>
    <mergeCell ref="B18:B35"/>
    <mergeCell ref="B38:B211"/>
  </mergeCells>
  <dataValidations>
    <dataValidation type="list" allowBlank="1" showErrorMessage="1" sqref="G19:G35 G39:G73 G75:G80 G82:G90 G92:G100 G102:G110 G112:G123 G125:G149 G151:G161 G163:G172 G174:G200 G202:G210">
      <formula1>"Pass,Fail,Update required,Not implemented,Not tested,Bug noticed"</formula1>
    </dataValidation>
    <dataValidation type="list" allowBlank="1" showErrorMessage="1" sqref="F19:F209 F211:F212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14"/>
    <col customWidth="1" min="3" max="3" width="2.29"/>
    <col customWidth="1" min="4" max="4" width="56.14"/>
    <col customWidth="1" min="5" max="5" width="69.43"/>
    <col customWidth="1" min="6" max="6" width="33.29"/>
    <col customWidth="1" min="7" max="7" width="33.71"/>
    <col customWidth="1" min="8" max="10" width="8.71"/>
  </cols>
  <sheetData>
    <row r="1" ht="12.0" customHeight="1">
      <c r="A1" s="207"/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</row>
    <row r="2" ht="12.0" customHeight="1">
      <c r="A2" s="207"/>
      <c r="B2" s="207"/>
      <c r="C2" s="207"/>
      <c r="D2" s="207"/>
      <c r="E2" s="207"/>
      <c r="F2" s="207"/>
      <c r="G2" s="207"/>
      <c r="H2" s="207"/>
      <c r="I2" s="207"/>
      <c r="J2" s="211" t="s">
        <v>11</v>
      </c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</row>
    <row r="3" ht="12.0" customHeight="1">
      <c r="A3" s="207"/>
      <c r="B3" s="207"/>
      <c r="C3" s="207"/>
      <c r="D3" s="207"/>
      <c r="E3" s="207"/>
      <c r="F3" s="207"/>
      <c r="G3" s="207"/>
      <c r="H3" s="207"/>
      <c r="I3" s="207"/>
      <c r="J3" s="211" t="s">
        <v>12</v>
      </c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</row>
    <row r="4" ht="12.0" customHeight="1">
      <c r="A4" s="207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</row>
    <row r="5" ht="21.75" customHeight="1">
      <c r="A5" s="207"/>
      <c r="B5" s="207"/>
      <c r="C5" s="207"/>
      <c r="D5" s="213" t="s">
        <v>173</v>
      </c>
      <c r="E5" s="36"/>
      <c r="F5" s="36"/>
      <c r="G5" s="211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</row>
    <row r="6" ht="12.0" customHeight="1">
      <c r="A6" s="207"/>
      <c r="B6" s="207"/>
      <c r="C6" s="207"/>
      <c r="D6" s="215"/>
      <c r="E6" s="216"/>
      <c r="F6" s="216"/>
      <c r="G6" s="21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</row>
    <row r="7" ht="12.0" customHeight="1">
      <c r="A7" s="207"/>
      <c r="B7" s="207"/>
      <c r="C7" s="207"/>
      <c r="D7" s="218" t="s">
        <v>18</v>
      </c>
      <c r="E7" s="5"/>
      <c r="F7" s="219" t="s">
        <v>21</v>
      </c>
      <c r="G7" s="220" t="s">
        <v>180</v>
      </c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</row>
    <row r="8" ht="12.0" customHeight="1">
      <c r="A8" s="207"/>
      <c r="B8" s="207"/>
      <c r="C8" s="207"/>
      <c r="D8" s="222"/>
      <c r="E8" s="5"/>
      <c r="F8" s="223" t="s">
        <v>24</v>
      </c>
      <c r="G8" s="225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</row>
    <row r="9" ht="12.0" customHeight="1">
      <c r="A9" s="207"/>
      <c r="B9" s="207"/>
      <c r="C9" s="207"/>
      <c r="D9" s="222"/>
      <c r="E9" s="5"/>
      <c r="F9" s="219" t="s">
        <v>26</v>
      </c>
      <c r="G9" s="231" t="s">
        <v>32</v>
      </c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</row>
    <row r="10" ht="12.0" customHeight="1">
      <c r="A10" s="207"/>
      <c r="B10" s="207"/>
      <c r="C10" s="207"/>
      <c r="D10" s="233" t="s">
        <v>28</v>
      </c>
      <c r="E10" s="242" t="str">
        <f t="array" ref="E10">E28(F19:F23,J2)</f>
        <v>#NAME?</v>
      </c>
      <c r="F10" s="219" t="s">
        <v>30</v>
      </c>
      <c r="G10" s="231" t="s">
        <v>31</v>
      </c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</row>
    <row r="11" ht="12.0" customHeight="1">
      <c r="A11" s="207"/>
      <c r="B11" s="207"/>
      <c r="C11" s="207"/>
      <c r="D11" s="233" t="s">
        <v>33</v>
      </c>
      <c r="E11" s="242">
        <f>COUNTIF(F19:F25,J3)</f>
        <v>0</v>
      </c>
      <c r="F11" s="6" t="s">
        <v>34</v>
      </c>
      <c r="G11" s="245" t="str">
        <f>(E10/E13)*K16</f>
        <v>#NAME?</v>
      </c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</row>
    <row r="12" ht="12.0" customHeight="1">
      <c r="A12" s="207"/>
      <c r="B12" s="207"/>
      <c r="C12" s="207"/>
      <c r="D12" s="233" t="s">
        <v>35</v>
      </c>
      <c r="E12" s="242" t="str">
        <f>SUM(E10:E11)</f>
        <v>#NAME?</v>
      </c>
      <c r="F12" s="6" t="s">
        <v>37</v>
      </c>
      <c r="G12" s="245" t="str">
        <f>(E11/E12)*100</f>
        <v>#NAME?</v>
      </c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</row>
    <row r="13" ht="12.0" customHeight="1">
      <c r="A13" s="207"/>
      <c r="B13" s="207"/>
      <c r="C13" s="207"/>
      <c r="D13" s="251"/>
      <c r="E13" s="253"/>
      <c r="F13" s="253"/>
      <c r="G13" s="255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</row>
    <row r="14" ht="12.0" customHeight="1">
      <c r="A14" s="207"/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</row>
    <row r="15" ht="12.0" customHeight="1">
      <c r="A15" s="207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</row>
    <row r="16" ht="27.75" customHeight="1">
      <c r="A16" s="211"/>
      <c r="B16" s="256" t="s">
        <v>39</v>
      </c>
      <c r="C16" s="211"/>
      <c r="D16" s="257" t="s">
        <v>41</v>
      </c>
      <c r="E16" s="257" t="s">
        <v>42</v>
      </c>
      <c r="F16" s="257" t="s">
        <v>43</v>
      </c>
      <c r="G16" s="258" t="s">
        <v>44</v>
      </c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</row>
    <row r="17" ht="27.75" customHeight="1">
      <c r="A17" s="211"/>
      <c r="B17" s="5"/>
      <c r="C17" s="259"/>
      <c r="D17" s="261"/>
      <c r="E17" s="261"/>
      <c r="F17" s="261"/>
      <c r="G17" s="259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</row>
    <row r="18" ht="32.25" customHeight="1">
      <c r="A18" s="207"/>
      <c r="B18" s="263" t="s">
        <v>173</v>
      </c>
      <c r="C18" s="264"/>
      <c r="D18" s="265"/>
      <c r="E18" s="267"/>
      <c r="F18" s="267"/>
      <c r="G18" s="268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</row>
    <row r="19" ht="53.25" customHeight="1">
      <c r="A19" s="207"/>
      <c r="B19" s="269" t="s">
        <v>240</v>
      </c>
      <c r="C19" s="211"/>
      <c r="D19" s="271" t="s">
        <v>250</v>
      </c>
      <c r="E19" s="272" t="s">
        <v>254</v>
      </c>
      <c r="F19" s="274" t="s">
        <v>11</v>
      </c>
      <c r="G19" s="275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</row>
    <row r="20" ht="47.25" customHeight="1">
      <c r="A20" s="207"/>
      <c r="B20" s="276"/>
      <c r="C20" s="211"/>
      <c r="D20" s="277" t="s">
        <v>271</v>
      </c>
      <c r="E20" s="278" t="s">
        <v>274</v>
      </c>
      <c r="F20" s="279" t="s">
        <v>11</v>
      </c>
      <c r="G20" s="281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</row>
    <row r="21" ht="47.25" customHeight="1">
      <c r="A21" s="207"/>
      <c r="B21" s="276"/>
      <c r="C21" s="211"/>
      <c r="D21" s="282" t="s">
        <v>296</v>
      </c>
      <c r="E21" s="278" t="s">
        <v>297</v>
      </c>
      <c r="F21" s="279" t="s">
        <v>11</v>
      </c>
      <c r="G21" s="281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</row>
    <row r="22" ht="47.25" customHeight="1">
      <c r="A22" s="207"/>
      <c r="B22" s="276"/>
      <c r="C22" s="211"/>
      <c r="D22" s="285" t="s">
        <v>300</v>
      </c>
      <c r="E22" s="278" t="s">
        <v>303</v>
      </c>
      <c r="F22" s="279" t="s">
        <v>11</v>
      </c>
      <c r="G22" s="281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</row>
    <row r="23" ht="47.25" customHeight="1">
      <c r="A23" s="207"/>
      <c r="B23" s="276"/>
      <c r="C23" s="211"/>
      <c r="D23" s="277" t="s">
        <v>309</v>
      </c>
      <c r="E23" s="278" t="s">
        <v>311</v>
      </c>
      <c r="F23" s="279" t="s">
        <v>11</v>
      </c>
      <c r="G23" s="281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</row>
    <row r="24" ht="36.0" customHeight="1">
      <c r="A24" s="207"/>
      <c r="B24" s="276"/>
      <c r="C24" s="211"/>
      <c r="D24" s="288" t="s">
        <v>319</v>
      </c>
      <c r="E24" s="291" t="s">
        <v>320</v>
      </c>
      <c r="F24" s="279" t="s">
        <v>11</v>
      </c>
      <c r="G24" s="281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</row>
    <row r="25" ht="12.0" customHeight="1">
      <c r="A25" s="207"/>
      <c r="B25" s="276"/>
      <c r="C25" s="211"/>
      <c r="D25" s="293" t="s">
        <v>323</v>
      </c>
      <c r="E25" s="294" t="s">
        <v>324</v>
      </c>
      <c r="F25" s="279" t="s">
        <v>11</v>
      </c>
      <c r="G25" s="281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</row>
    <row r="26" ht="12.0" customHeight="1">
      <c r="A26" s="207"/>
      <c r="B26" s="276"/>
      <c r="C26" s="211"/>
      <c r="D26" s="293" t="s">
        <v>328</v>
      </c>
      <c r="E26" s="294" t="s">
        <v>329</v>
      </c>
      <c r="F26" s="279" t="s">
        <v>11</v>
      </c>
      <c r="G26" s="281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</row>
    <row r="27" ht="50.25" customHeight="1">
      <c r="A27" s="207"/>
      <c r="B27" s="276"/>
      <c r="C27" s="211"/>
      <c r="D27" s="293" t="s">
        <v>335</v>
      </c>
      <c r="E27" s="294" t="s">
        <v>338</v>
      </c>
      <c r="F27" s="279" t="s">
        <v>11</v>
      </c>
      <c r="G27" s="281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</row>
    <row r="28" ht="44.25" customHeight="1">
      <c r="A28" s="207"/>
      <c r="B28" s="276"/>
      <c r="C28" s="211"/>
      <c r="D28" s="293" t="s">
        <v>341</v>
      </c>
      <c r="E28" s="294" t="s">
        <v>342</v>
      </c>
      <c r="F28" s="279" t="s">
        <v>11</v>
      </c>
      <c r="G28" s="281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</row>
    <row r="29" ht="36.75" customHeight="1">
      <c r="A29" s="207"/>
      <c r="B29" s="276"/>
      <c r="C29" s="211"/>
      <c r="D29" s="298" t="s">
        <v>348</v>
      </c>
      <c r="E29" s="294" t="s">
        <v>351</v>
      </c>
      <c r="F29" s="279" t="s">
        <v>11</v>
      </c>
      <c r="G29" s="281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</row>
    <row r="30" ht="36.75" customHeight="1">
      <c r="A30" s="207"/>
      <c r="B30" s="276"/>
      <c r="C30" s="211"/>
      <c r="D30" s="300" t="s">
        <v>359</v>
      </c>
      <c r="E30" s="294" t="s">
        <v>361</v>
      </c>
      <c r="F30" s="279" t="s">
        <v>11</v>
      </c>
      <c r="G30" s="281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</row>
    <row r="31" ht="36.0" customHeight="1">
      <c r="A31" s="207"/>
      <c r="B31" s="276"/>
      <c r="C31" s="211"/>
      <c r="D31" s="300" t="s">
        <v>365</v>
      </c>
      <c r="E31" s="294" t="s">
        <v>367</v>
      </c>
      <c r="F31" s="304" t="s">
        <v>11</v>
      </c>
      <c r="G31" s="281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</row>
    <row r="32" ht="36.0" customHeight="1">
      <c r="A32" s="207"/>
      <c r="B32" s="276"/>
      <c r="C32" s="211"/>
      <c r="D32" s="300" t="s">
        <v>372</v>
      </c>
      <c r="E32" s="294" t="s">
        <v>374</v>
      </c>
      <c r="F32" s="304" t="s">
        <v>11</v>
      </c>
      <c r="G32" s="281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</row>
    <row r="33" ht="36.0" customHeight="1">
      <c r="A33" s="207"/>
      <c r="B33" s="276"/>
      <c r="C33" s="211"/>
      <c r="D33" s="300" t="s">
        <v>380</v>
      </c>
      <c r="E33" s="294" t="s">
        <v>382</v>
      </c>
      <c r="F33" s="304" t="s">
        <v>11</v>
      </c>
      <c r="G33" s="281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</row>
    <row r="34" ht="36.0" customHeight="1">
      <c r="A34" s="207"/>
      <c r="B34" s="276"/>
      <c r="C34" s="211"/>
      <c r="D34" s="300" t="s">
        <v>385</v>
      </c>
      <c r="E34" s="294" t="s">
        <v>387</v>
      </c>
      <c r="F34" s="304" t="s">
        <v>11</v>
      </c>
      <c r="G34" s="281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</row>
    <row r="35" ht="36.0" customHeight="1">
      <c r="A35" s="207"/>
      <c r="B35" s="276"/>
      <c r="C35" s="211"/>
      <c r="D35" s="300" t="s">
        <v>395</v>
      </c>
      <c r="E35" s="294" t="s">
        <v>397</v>
      </c>
      <c r="F35" s="279" t="s">
        <v>11</v>
      </c>
      <c r="G35" s="281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</row>
    <row r="36" ht="36.0" customHeight="1">
      <c r="A36" s="207"/>
      <c r="B36" s="276"/>
      <c r="C36" s="211"/>
      <c r="D36" s="300" t="s">
        <v>404</v>
      </c>
      <c r="E36" s="294" t="s">
        <v>405</v>
      </c>
      <c r="F36" s="279" t="s">
        <v>11</v>
      </c>
      <c r="G36" s="281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</row>
    <row r="37" ht="36.0" customHeight="1">
      <c r="A37" s="207"/>
      <c r="B37" s="276"/>
      <c r="C37" s="211"/>
      <c r="D37" s="300" t="s">
        <v>414</v>
      </c>
      <c r="E37" s="294" t="s">
        <v>417</v>
      </c>
      <c r="F37" s="279" t="s">
        <v>11</v>
      </c>
      <c r="G37" s="281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</row>
    <row r="38" ht="36.0" customHeight="1">
      <c r="A38" s="207"/>
      <c r="B38" s="276"/>
      <c r="C38" s="211"/>
      <c r="D38" s="298" t="s">
        <v>423</v>
      </c>
      <c r="E38" s="294" t="s">
        <v>425</v>
      </c>
      <c r="F38" s="279" t="s">
        <v>11</v>
      </c>
      <c r="G38" s="281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</row>
    <row r="39" ht="36.0" customHeight="1">
      <c r="A39" s="207"/>
      <c r="B39" s="276"/>
      <c r="C39" s="211"/>
      <c r="D39" s="300" t="s">
        <v>431</v>
      </c>
      <c r="E39" s="294" t="s">
        <v>432</v>
      </c>
      <c r="F39" s="279" t="s">
        <v>11</v>
      </c>
      <c r="G39" s="281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</row>
    <row r="40" ht="36.0" customHeight="1">
      <c r="A40" s="207"/>
      <c r="B40" s="276"/>
      <c r="C40" s="211"/>
      <c r="D40" s="298" t="s">
        <v>440</v>
      </c>
      <c r="E40" s="294" t="s">
        <v>441</v>
      </c>
      <c r="F40" s="308"/>
      <c r="G40" s="281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</row>
    <row r="41" ht="36.0" customHeight="1">
      <c r="A41" s="207"/>
      <c r="B41" s="276"/>
      <c r="C41" s="211"/>
      <c r="D41" s="309"/>
      <c r="E41" s="308"/>
      <c r="F41" s="308"/>
      <c r="G41" s="281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</row>
    <row r="42" ht="36.0" customHeight="1">
      <c r="A42" s="207"/>
      <c r="B42" s="276"/>
      <c r="C42" s="211"/>
      <c r="D42" s="298" t="s">
        <v>460</v>
      </c>
      <c r="E42" s="294" t="s">
        <v>462</v>
      </c>
      <c r="F42" s="279" t="s">
        <v>11</v>
      </c>
      <c r="G42" s="281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</row>
    <row r="43" ht="36.0" customHeight="1">
      <c r="A43" s="207"/>
      <c r="B43" s="276"/>
      <c r="C43" s="211"/>
      <c r="D43" s="298" t="s">
        <v>469</v>
      </c>
      <c r="E43" s="294" t="s">
        <v>470</v>
      </c>
      <c r="F43" s="279" t="s">
        <v>12</v>
      </c>
      <c r="G43" s="310" t="s">
        <v>475</v>
      </c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</row>
    <row r="44" ht="36.0" customHeight="1">
      <c r="A44" s="207"/>
      <c r="B44" s="311"/>
      <c r="C44" s="211"/>
      <c r="D44" s="312" t="s">
        <v>86</v>
      </c>
      <c r="E44" s="313"/>
      <c r="F44" s="313"/>
      <c r="G44" s="314"/>
      <c r="H44" s="20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</row>
    <row r="45" ht="36.0" customHeight="1">
      <c r="A45" s="207"/>
      <c r="B45" s="211"/>
      <c r="C45" s="211"/>
      <c r="D45" s="211"/>
      <c r="E45" s="211"/>
      <c r="F45" s="211"/>
      <c r="G45" s="211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</row>
    <row r="46" ht="36.0" customHeight="1">
      <c r="A46" s="207"/>
      <c r="B46" s="315" t="s">
        <v>502</v>
      </c>
      <c r="C46" s="211"/>
      <c r="D46" s="316" t="s">
        <v>250</v>
      </c>
      <c r="E46" s="317" t="s">
        <v>254</v>
      </c>
      <c r="F46" s="274" t="s">
        <v>11</v>
      </c>
      <c r="G46" s="275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</row>
    <row r="47" ht="36.0" customHeight="1">
      <c r="A47" s="207"/>
      <c r="B47" s="276"/>
      <c r="C47" s="211"/>
      <c r="D47" s="298" t="s">
        <v>515</v>
      </c>
      <c r="E47" s="294" t="s">
        <v>516</v>
      </c>
      <c r="F47" s="279" t="s">
        <v>11</v>
      </c>
      <c r="G47" s="281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</row>
    <row r="48" ht="36.0" customHeight="1">
      <c r="A48" s="207"/>
      <c r="B48" s="276"/>
      <c r="C48" s="211"/>
      <c r="D48" s="293" t="s">
        <v>521</v>
      </c>
      <c r="E48" s="294" t="s">
        <v>522</v>
      </c>
      <c r="F48" s="279" t="s">
        <v>11</v>
      </c>
      <c r="G48" s="281" t="s">
        <v>523</v>
      </c>
      <c r="H48" s="207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</row>
    <row r="49" ht="36.0" customHeight="1">
      <c r="A49" s="207"/>
      <c r="B49" s="276"/>
      <c r="C49" s="211"/>
      <c r="D49" s="293" t="s">
        <v>524</v>
      </c>
      <c r="E49" s="294" t="s">
        <v>525</v>
      </c>
      <c r="F49" s="279" t="s">
        <v>11</v>
      </c>
      <c r="G49" s="281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</row>
    <row r="50" ht="36.0" customHeight="1">
      <c r="A50" s="207"/>
      <c r="B50" s="276"/>
      <c r="C50" s="211"/>
      <c r="D50" s="298" t="s">
        <v>527</v>
      </c>
      <c r="E50" s="294" t="s">
        <v>528</v>
      </c>
      <c r="F50" s="279" t="s">
        <v>11</v>
      </c>
      <c r="G50" s="281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</row>
    <row r="51" ht="36.0" customHeight="1">
      <c r="A51" s="207"/>
      <c r="B51" s="276"/>
      <c r="C51" s="211"/>
      <c r="D51" s="300" t="s">
        <v>530</v>
      </c>
      <c r="E51" s="294" t="s">
        <v>531</v>
      </c>
      <c r="F51" s="279" t="s">
        <v>11</v>
      </c>
      <c r="G51" s="281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</row>
    <row r="52" ht="36.0" customHeight="1">
      <c r="A52" s="207"/>
      <c r="B52" s="276"/>
      <c r="C52" s="211"/>
      <c r="D52" s="298" t="s">
        <v>533</v>
      </c>
      <c r="E52" s="324" t="s">
        <v>536</v>
      </c>
      <c r="F52" s="279" t="s">
        <v>11</v>
      </c>
      <c r="G52" s="281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</row>
    <row r="53" ht="36.0" customHeight="1">
      <c r="A53" s="207"/>
      <c r="B53" s="276"/>
      <c r="C53" s="211"/>
      <c r="D53" s="300" t="s">
        <v>542</v>
      </c>
      <c r="E53" s="294" t="s">
        <v>543</v>
      </c>
      <c r="F53" s="279" t="s">
        <v>11</v>
      </c>
      <c r="G53" s="281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</row>
    <row r="54" ht="36.0" customHeight="1">
      <c r="A54" s="207"/>
      <c r="B54" s="276"/>
      <c r="C54" s="211"/>
      <c r="D54" s="300" t="s">
        <v>550</v>
      </c>
      <c r="E54" s="326" t="s">
        <v>551</v>
      </c>
      <c r="F54" s="279" t="s">
        <v>11</v>
      </c>
      <c r="G54" s="281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</row>
    <row r="55" ht="36.0" customHeight="1">
      <c r="A55" s="207"/>
      <c r="B55" s="276"/>
      <c r="C55" s="211"/>
      <c r="D55" s="300" t="s">
        <v>557</v>
      </c>
      <c r="E55" s="294" t="s">
        <v>558</v>
      </c>
      <c r="F55" s="279" t="s">
        <v>11</v>
      </c>
      <c r="G55" s="281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</row>
    <row r="56" ht="36.0" customHeight="1">
      <c r="A56" s="207"/>
      <c r="B56" s="276"/>
      <c r="C56" s="211"/>
      <c r="D56" s="328" t="s">
        <v>562</v>
      </c>
      <c r="E56" s="330" t="s">
        <v>564</v>
      </c>
      <c r="F56" s="279" t="s">
        <v>11</v>
      </c>
      <c r="G56" s="281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</row>
    <row r="57" ht="36.0" customHeight="1">
      <c r="A57" s="207"/>
      <c r="B57" s="276"/>
      <c r="C57" s="211"/>
      <c r="D57" s="333" t="s">
        <v>569</v>
      </c>
      <c r="E57" s="334" t="s">
        <v>570</v>
      </c>
      <c r="F57" s="279" t="s">
        <v>11</v>
      </c>
      <c r="G57" s="281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</row>
    <row r="58" ht="36.0" customHeight="1">
      <c r="A58" s="207"/>
      <c r="B58" s="276"/>
      <c r="C58" s="211"/>
      <c r="D58" s="309"/>
      <c r="E58" s="308"/>
      <c r="F58" s="279" t="s">
        <v>11</v>
      </c>
      <c r="G58" s="281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</row>
    <row r="59" ht="36.0" customHeight="1">
      <c r="A59" s="207"/>
      <c r="B59" s="276"/>
      <c r="C59" s="211"/>
      <c r="D59" s="300" t="s">
        <v>581</v>
      </c>
      <c r="E59" s="294" t="s">
        <v>582</v>
      </c>
      <c r="F59" s="279" t="s">
        <v>11</v>
      </c>
      <c r="G59" s="281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</row>
    <row r="60" ht="26.25" customHeight="1">
      <c r="A60" s="207"/>
      <c r="B60" s="276"/>
      <c r="C60" s="211"/>
      <c r="D60" s="300" t="s">
        <v>587</v>
      </c>
      <c r="E60" s="294" t="s">
        <v>588</v>
      </c>
      <c r="F60" s="279" t="s">
        <v>11</v>
      </c>
      <c r="G60" s="281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</row>
    <row r="61" ht="23.25" customHeight="1">
      <c r="A61" s="207"/>
      <c r="B61" s="276"/>
      <c r="C61" s="211"/>
      <c r="D61" s="300" t="s">
        <v>590</v>
      </c>
      <c r="E61" s="294" t="s">
        <v>591</v>
      </c>
      <c r="F61" s="279" t="s">
        <v>11</v>
      </c>
      <c r="G61" s="281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</row>
    <row r="62" ht="23.25" customHeight="1">
      <c r="A62" s="207"/>
      <c r="B62" s="276"/>
      <c r="C62" s="211"/>
      <c r="D62" s="300" t="s">
        <v>594</v>
      </c>
      <c r="E62" s="294" t="s">
        <v>595</v>
      </c>
      <c r="F62" s="279" t="s">
        <v>11</v>
      </c>
      <c r="G62" s="281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</row>
    <row r="63" ht="23.25" customHeight="1">
      <c r="A63" s="207"/>
      <c r="B63" s="311"/>
      <c r="C63" s="211"/>
      <c r="D63" s="312" t="s">
        <v>86</v>
      </c>
      <c r="E63" s="313"/>
      <c r="F63" s="313"/>
      <c r="G63" s="314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</row>
    <row r="64" ht="23.25" customHeight="1">
      <c r="A64" s="207"/>
      <c r="B64" s="211"/>
      <c r="C64" s="211"/>
      <c r="D64" s="340"/>
      <c r="E64" s="340"/>
      <c r="F64" s="340"/>
      <c r="G64" s="340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</row>
    <row r="65" ht="23.25" customHeight="1">
      <c r="A65" s="207"/>
      <c r="B65" s="315" t="s">
        <v>606</v>
      </c>
      <c r="C65" s="211"/>
      <c r="D65" s="316" t="s">
        <v>250</v>
      </c>
      <c r="E65" s="317" t="s">
        <v>254</v>
      </c>
      <c r="F65" s="274" t="s">
        <v>11</v>
      </c>
      <c r="G65" s="275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</row>
    <row r="66" ht="23.25" customHeight="1">
      <c r="A66" s="207"/>
      <c r="B66" s="276"/>
      <c r="C66" s="211"/>
      <c r="D66" s="293" t="s">
        <v>618</v>
      </c>
      <c r="E66" s="294" t="s">
        <v>619</v>
      </c>
      <c r="F66" s="279" t="s">
        <v>11</v>
      </c>
      <c r="G66" s="281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</row>
    <row r="67" ht="23.25" customHeight="1">
      <c r="A67" s="207"/>
      <c r="B67" s="276"/>
      <c r="C67" s="211"/>
      <c r="D67" s="298" t="s">
        <v>625</v>
      </c>
      <c r="E67" s="294" t="s">
        <v>629</v>
      </c>
      <c r="F67" s="279" t="s">
        <v>11</v>
      </c>
      <c r="G67" s="281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</row>
    <row r="68" ht="23.25" customHeight="1">
      <c r="A68" s="207"/>
      <c r="B68" s="276"/>
      <c r="C68" s="211"/>
      <c r="D68" s="293" t="s">
        <v>524</v>
      </c>
      <c r="E68" s="294" t="s">
        <v>525</v>
      </c>
      <c r="F68" s="279" t="s">
        <v>11</v>
      </c>
      <c r="G68" s="281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</row>
    <row r="69" ht="23.25" customHeight="1">
      <c r="A69" s="207"/>
      <c r="B69" s="276"/>
      <c r="C69" s="211"/>
      <c r="D69" s="300" t="s">
        <v>640</v>
      </c>
      <c r="E69" s="294" t="s">
        <v>642</v>
      </c>
      <c r="F69" s="279" t="s">
        <v>11</v>
      </c>
      <c r="G69" s="281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</row>
    <row r="70" ht="23.25" customHeight="1">
      <c r="A70" s="207"/>
      <c r="B70" s="276"/>
      <c r="C70" s="211"/>
      <c r="D70" s="298" t="s">
        <v>647</v>
      </c>
      <c r="E70" s="294" t="s">
        <v>648</v>
      </c>
      <c r="F70" s="279" t="s">
        <v>11</v>
      </c>
      <c r="G70" s="281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</row>
    <row r="71" ht="23.25" customHeight="1">
      <c r="A71" s="207"/>
      <c r="B71" s="276"/>
      <c r="C71" s="211"/>
      <c r="D71" s="298" t="s">
        <v>653</v>
      </c>
      <c r="E71" s="294" t="s">
        <v>654</v>
      </c>
      <c r="F71" s="279" t="s">
        <v>11</v>
      </c>
      <c r="G71" s="281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</row>
    <row r="72" ht="23.25" customHeight="1">
      <c r="A72" s="207"/>
      <c r="B72" s="276"/>
      <c r="C72" s="211"/>
      <c r="D72" s="298" t="s">
        <v>655</v>
      </c>
      <c r="E72" s="294" t="s">
        <v>656</v>
      </c>
      <c r="F72" s="308"/>
      <c r="G72" s="281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</row>
    <row r="73" ht="23.25" customHeight="1">
      <c r="A73" s="207"/>
      <c r="B73" s="276"/>
      <c r="C73" s="211"/>
      <c r="D73" s="298" t="s">
        <v>661</v>
      </c>
      <c r="E73" s="294" t="s">
        <v>662</v>
      </c>
      <c r="F73" s="308"/>
      <c r="G73" s="281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</row>
    <row r="74" ht="23.25" customHeight="1">
      <c r="A74" s="207"/>
      <c r="B74" s="276"/>
      <c r="C74" s="211"/>
      <c r="D74" s="298" t="s">
        <v>527</v>
      </c>
      <c r="E74" s="294" t="s">
        <v>666</v>
      </c>
      <c r="F74" s="279" t="s">
        <v>11</v>
      </c>
      <c r="G74" s="281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</row>
    <row r="75" ht="23.25" customHeight="1">
      <c r="A75" s="207"/>
      <c r="B75" s="276"/>
      <c r="C75" s="211"/>
      <c r="D75" s="298" t="s">
        <v>667</v>
      </c>
      <c r="E75" s="294" t="s">
        <v>668</v>
      </c>
      <c r="F75" s="279" t="s">
        <v>11</v>
      </c>
      <c r="G75" s="281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</row>
    <row r="76" ht="23.25" customHeight="1">
      <c r="A76" s="207"/>
      <c r="B76" s="311"/>
      <c r="C76" s="211"/>
      <c r="D76" s="353" t="s">
        <v>86</v>
      </c>
      <c r="E76" s="313"/>
      <c r="F76" s="313"/>
      <c r="G76" s="314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</row>
    <row r="77" ht="23.25" customHeight="1">
      <c r="A77" s="207"/>
      <c r="B77" s="211"/>
      <c r="C77" s="211"/>
      <c r="D77" s="211"/>
      <c r="E77" s="211"/>
      <c r="F77" s="211"/>
      <c r="G77" s="211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</row>
    <row r="78" ht="23.25" customHeight="1">
      <c r="A78" s="207"/>
      <c r="B78" s="315" t="s">
        <v>673</v>
      </c>
      <c r="C78" s="211"/>
      <c r="D78" s="316" t="s">
        <v>250</v>
      </c>
      <c r="E78" s="317" t="s">
        <v>254</v>
      </c>
      <c r="F78" s="274" t="s">
        <v>11</v>
      </c>
      <c r="G78" s="275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</row>
    <row r="79" ht="23.25" customHeight="1">
      <c r="A79" s="207"/>
      <c r="B79" s="276"/>
      <c r="C79" s="211"/>
      <c r="D79" s="293" t="s">
        <v>676</v>
      </c>
      <c r="E79" s="294" t="s">
        <v>677</v>
      </c>
      <c r="F79" s="279" t="s">
        <v>11</v>
      </c>
      <c r="G79" s="281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</row>
    <row r="80" ht="23.25" customHeight="1">
      <c r="A80" s="207"/>
      <c r="B80" s="276"/>
      <c r="C80" s="211"/>
      <c r="D80" s="298" t="s">
        <v>625</v>
      </c>
      <c r="E80" s="294" t="s">
        <v>680</v>
      </c>
      <c r="F80" s="279" t="s">
        <v>11</v>
      </c>
      <c r="G80" s="281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</row>
    <row r="81" ht="23.25" customHeight="1">
      <c r="A81" s="207"/>
      <c r="B81" s="276"/>
      <c r="C81" s="211"/>
      <c r="D81" s="298" t="s">
        <v>681</v>
      </c>
      <c r="E81" s="294" t="s">
        <v>682</v>
      </c>
      <c r="F81" s="308"/>
      <c r="G81" s="281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</row>
    <row r="82" ht="23.25" customHeight="1">
      <c r="A82" s="207"/>
      <c r="B82" s="276"/>
      <c r="C82" s="211"/>
      <c r="D82" s="298" t="s">
        <v>655</v>
      </c>
      <c r="E82" s="294" t="s">
        <v>683</v>
      </c>
      <c r="F82" s="308"/>
      <c r="G82" s="281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</row>
    <row r="83" ht="23.25" customHeight="1">
      <c r="A83" s="207"/>
      <c r="B83" s="276"/>
      <c r="C83" s="211"/>
      <c r="D83" s="298" t="s">
        <v>661</v>
      </c>
      <c r="E83" s="294" t="s">
        <v>685</v>
      </c>
      <c r="F83" s="308"/>
      <c r="G83" s="281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</row>
    <row r="84" ht="23.25" customHeight="1">
      <c r="A84" s="207"/>
      <c r="B84" s="276"/>
      <c r="C84" s="211"/>
      <c r="D84" s="298" t="s">
        <v>667</v>
      </c>
      <c r="E84" s="294" t="s">
        <v>668</v>
      </c>
      <c r="F84" s="279" t="s">
        <v>11</v>
      </c>
      <c r="G84" s="281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</row>
    <row r="85" ht="23.25" customHeight="1">
      <c r="A85" s="207"/>
      <c r="B85" s="311"/>
      <c r="C85" s="211"/>
      <c r="D85" s="353" t="s">
        <v>86</v>
      </c>
      <c r="E85" s="313"/>
      <c r="F85" s="313"/>
      <c r="G85" s="314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</row>
    <row r="86" ht="23.25" customHeight="1">
      <c r="A86" s="207"/>
      <c r="B86" s="211"/>
      <c r="C86" s="211"/>
      <c r="D86" s="211"/>
      <c r="E86" s="211"/>
      <c r="F86" s="211"/>
      <c r="G86" s="211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</row>
    <row r="87" ht="23.25" customHeight="1">
      <c r="A87" s="207"/>
      <c r="B87" s="211"/>
      <c r="C87" s="211"/>
      <c r="D87" s="211"/>
      <c r="E87" s="211"/>
      <c r="F87" s="211"/>
      <c r="G87" s="211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</row>
    <row r="88" ht="23.25" customHeight="1">
      <c r="A88" s="207"/>
      <c r="B88" s="211"/>
      <c r="C88" s="211"/>
      <c r="D88" s="211"/>
      <c r="E88" s="211"/>
      <c r="F88" s="211"/>
      <c r="G88" s="211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</row>
    <row r="89" ht="23.25" customHeight="1">
      <c r="A89" s="207"/>
      <c r="B89" s="211"/>
      <c r="C89" s="211"/>
      <c r="D89" s="211"/>
      <c r="E89" s="211"/>
      <c r="F89" s="211"/>
      <c r="G89" s="211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</row>
    <row r="90" ht="23.25" customHeight="1">
      <c r="A90" s="207"/>
      <c r="B90" s="211"/>
      <c r="C90" s="211"/>
      <c r="D90" s="211"/>
      <c r="E90" s="211"/>
      <c r="F90" s="211"/>
      <c r="G90" s="211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</row>
    <row r="91" ht="23.25" customHeight="1">
      <c r="A91" s="207"/>
      <c r="B91" s="211"/>
      <c r="C91" s="211"/>
      <c r="D91" s="211"/>
      <c r="E91" s="211"/>
      <c r="F91" s="211"/>
      <c r="G91" s="211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</row>
    <row r="92" ht="23.25" customHeight="1">
      <c r="A92" s="207"/>
      <c r="B92" s="211"/>
      <c r="C92" s="211"/>
      <c r="D92" s="211"/>
      <c r="E92" s="211"/>
      <c r="F92" s="211"/>
      <c r="G92" s="211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</row>
    <row r="93" ht="23.25" customHeight="1">
      <c r="A93" s="207"/>
      <c r="B93" s="211"/>
      <c r="C93" s="211"/>
      <c r="D93" s="211"/>
      <c r="E93" s="211"/>
      <c r="F93" s="211"/>
      <c r="G93" s="211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</row>
    <row r="94" ht="23.25" customHeight="1">
      <c r="A94" s="207"/>
      <c r="B94" s="211"/>
      <c r="C94" s="211"/>
      <c r="D94" s="211"/>
      <c r="E94" s="211"/>
      <c r="F94" s="211"/>
      <c r="G94" s="211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</row>
    <row r="95" ht="23.25" customHeight="1">
      <c r="A95" s="207"/>
      <c r="B95" s="211"/>
      <c r="C95" s="211"/>
      <c r="D95" s="211"/>
      <c r="E95" s="211"/>
      <c r="F95" s="211"/>
      <c r="G95" s="211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</row>
    <row r="96" ht="23.25" customHeight="1">
      <c r="A96" s="207"/>
      <c r="B96" s="211"/>
      <c r="C96" s="211"/>
      <c r="D96" s="211"/>
      <c r="E96" s="211"/>
      <c r="F96" s="211"/>
      <c r="G96" s="211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</row>
    <row r="97" ht="23.25" customHeight="1">
      <c r="A97" s="207"/>
      <c r="B97" s="211"/>
      <c r="C97" s="211"/>
      <c r="D97" s="211"/>
      <c r="E97" s="211"/>
      <c r="F97" s="211"/>
      <c r="G97" s="211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</row>
    <row r="98" ht="23.25" customHeight="1">
      <c r="A98" s="207"/>
      <c r="B98" s="211"/>
      <c r="C98" s="211"/>
      <c r="D98" s="211"/>
      <c r="E98" s="211"/>
      <c r="F98" s="211"/>
      <c r="G98" s="211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</row>
    <row r="99" ht="23.25" customHeight="1">
      <c r="A99" s="207"/>
      <c r="B99" s="211"/>
      <c r="C99" s="211"/>
      <c r="D99" s="211"/>
      <c r="E99" s="211"/>
      <c r="F99" s="211"/>
      <c r="G99" s="211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</row>
    <row r="100" ht="23.25" customHeight="1">
      <c r="A100" s="207"/>
      <c r="B100" s="211"/>
      <c r="C100" s="211"/>
      <c r="D100" s="211"/>
      <c r="E100" s="211"/>
      <c r="F100" s="211"/>
      <c r="G100" s="211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</row>
    <row r="101" ht="23.25" customHeight="1">
      <c r="A101" s="207"/>
      <c r="B101" s="211"/>
      <c r="C101" s="211"/>
      <c r="D101" s="211"/>
      <c r="E101" s="211"/>
      <c r="F101" s="211"/>
      <c r="G101" s="211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</row>
    <row r="102" ht="23.25" customHeight="1">
      <c r="A102" s="207"/>
      <c r="B102" s="211"/>
      <c r="C102" s="211"/>
      <c r="D102" s="211"/>
      <c r="E102" s="211"/>
      <c r="F102" s="211"/>
      <c r="G102" s="211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</row>
    <row r="103" ht="23.25" customHeight="1">
      <c r="A103" s="207"/>
      <c r="B103" s="211"/>
      <c r="C103" s="211"/>
      <c r="D103" s="211"/>
      <c r="E103" s="211"/>
      <c r="F103" s="211"/>
      <c r="G103" s="211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</row>
    <row r="104" ht="23.25" customHeight="1">
      <c r="A104" s="207"/>
      <c r="B104" s="211"/>
      <c r="C104" s="211"/>
      <c r="D104" s="211"/>
      <c r="E104" s="211"/>
      <c r="F104" s="211"/>
      <c r="G104" s="211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</row>
    <row r="105" ht="23.25" customHeight="1">
      <c r="A105" s="207"/>
      <c r="B105" s="211"/>
      <c r="C105" s="211"/>
      <c r="D105" s="211"/>
      <c r="E105" s="211"/>
      <c r="F105" s="211"/>
      <c r="G105" s="211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</row>
    <row r="106" ht="23.25" customHeight="1">
      <c r="A106" s="207"/>
      <c r="B106" s="211"/>
      <c r="C106" s="211"/>
      <c r="D106" s="211"/>
      <c r="E106" s="211"/>
      <c r="F106" s="211"/>
      <c r="G106" s="211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</row>
    <row r="107" ht="23.25" customHeight="1">
      <c r="A107" s="207"/>
      <c r="B107" s="211"/>
      <c r="C107" s="211"/>
      <c r="D107" s="211"/>
      <c r="E107" s="211"/>
      <c r="F107" s="211"/>
      <c r="G107" s="211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</row>
    <row r="108" ht="23.25" customHeight="1">
      <c r="A108" s="207"/>
      <c r="B108" s="211"/>
      <c r="C108" s="211"/>
      <c r="D108" s="211"/>
      <c r="E108" s="211"/>
      <c r="F108" s="211"/>
      <c r="G108" s="211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</row>
    <row r="109" ht="36.75" customHeight="1">
      <c r="A109" s="207"/>
      <c r="B109" s="211"/>
      <c r="C109" s="211"/>
      <c r="D109" s="211"/>
      <c r="E109" s="211"/>
      <c r="F109" s="211"/>
      <c r="G109" s="211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</row>
    <row r="110" ht="23.25" customHeight="1">
      <c r="A110" s="207"/>
      <c r="B110" s="211"/>
      <c r="C110" s="211"/>
      <c r="D110" s="211"/>
      <c r="E110" s="211"/>
      <c r="F110" s="211"/>
      <c r="G110" s="211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</row>
    <row r="111" ht="23.25" customHeight="1">
      <c r="A111" s="207"/>
      <c r="B111" s="211"/>
      <c r="C111" s="211"/>
      <c r="D111" s="211"/>
      <c r="E111" s="211"/>
      <c r="F111" s="211"/>
      <c r="G111" s="211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</row>
    <row r="112" ht="23.25" customHeight="1">
      <c r="A112" s="207"/>
      <c r="B112" s="211"/>
      <c r="C112" s="211"/>
      <c r="D112" s="211"/>
      <c r="E112" s="211"/>
      <c r="F112" s="211"/>
      <c r="G112" s="211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</row>
    <row r="113" ht="23.25" customHeight="1">
      <c r="A113" s="207"/>
      <c r="B113" s="211"/>
      <c r="C113" s="211"/>
      <c r="D113" s="211"/>
      <c r="E113" s="211"/>
      <c r="F113" s="211"/>
      <c r="G113" s="211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</row>
    <row r="114" ht="23.25" customHeight="1">
      <c r="A114" s="207"/>
      <c r="B114" s="211"/>
      <c r="C114" s="211"/>
      <c r="D114" s="211"/>
      <c r="E114" s="211"/>
      <c r="F114" s="211"/>
      <c r="G114" s="211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</row>
    <row r="115" ht="23.25" customHeight="1">
      <c r="A115" s="207"/>
      <c r="B115" s="211"/>
      <c r="C115" s="211"/>
      <c r="D115" s="211"/>
      <c r="E115" s="211"/>
      <c r="F115" s="211"/>
      <c r="G115" s="211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</row>
    <row r="116" ht="23.25" customHeight="1">
      <c r="A116" s="207"/>
      <c r="B116" s="211"/>
      <c r="C116" s="211"/>
      <c r="D116" s="211"/>
      <c r="E116" s="211"/>
      <c r="F116" s="211"/>
      <c r="G116" s="211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</row>
    <row r="117" ht="55.5" customHeight="1">
      <c r="A117" s="207"/>
      <c r="B117" s="211"/>
      <c r="C117" s="211"/>
      <c r="D117" s="211"/>
      <c r="E117" s="211"/>
      <c r="F117" s="211"/>
      <c r="G117" s="211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</row>
    <row r="118" ht="23.25" customHeight="1">
      <c r="A118" s="207"/>
      <c r="B118" s="211"/>
      <c r="C118" s="211"/>
      <c r="D118" s="211"/>
      <c r="E118" s="211"/>
      <c r="F118" s="211"/>
      <c r="G118" s="211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</row>
    <row r="119" ht="23.25" customHeight="1">
      <c r="A119" s="207"/>
      <c r="B119" s="211"/>
      <c r="C119" s="211"/>
      <c r="D119" s="211"/>
      <c r="E119" s="211"/>
      <c r="F119" s="211"/>
      <c r="G119" s="211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</row>
    <row r="120" ht="23.25" customHeight="1">
      <c r="A120" s="207"/>
      <c r="B120" s="211"/>
      <c r="C120" s="211"/>
      <c r="D120" s="211"/>
      <c r="E120" s="211"/>
      <c r="F120" s="211"/>
      <c r="G120" s="211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</row>
    <row r="121" ht="23.25" customHeight="1">
      <c r="A121" s="207"/>
      <c r="B121" s="211"/>
      <c r="C121" s="211"/>
      <c r="D121" s="211"/>
      <c r="E121" s="211"/>
      <c r="F121" s="211"/>
      <c r="G121" s="211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</row>
    <row r="122" ht="39.75" customHeight="1">
      <c r="A122" s="207"/>
      <c r="B122" s="211"/>
      <c r="C122" s="211"/>
      <c r="D122" s="211"/>
      <c r="E122" s="211"/>
      <c r="F122" s="211"/>
      <c r="G122" s="211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</row>
    <row r="123" ht="23.25" customHeight="1">
      <c r="A123" s="207"/>
      <c r="B123" s="211"/>
      <c r="C123" s="211"/>
      <c r="D123" s="211"/>
      <c r="E123" s="211"/>
      <c r="F123" s="211"/>
      <c r="G123" s="211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</row>
    <row r="124" ht="23.25" customHeight="1">
      <c r="A124" s="207"/>
      <c r="B124" s="211"/>
      <c r="C124" s="211"/>
      <c r="D124" s="211"/>
      <c r="E124" s="211"/>
      <c r="F124" s="211"/>
      <c r="G124" s="211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</row>
    <row r="125" ht="23.25" customHeight="1">
      <c r="A125" s="207"/>
      <c r="B125" s="211"/>
      <c r="C125" s="211"/>
      <c r="D125" s="211"/>
      <c r="E125" s="211"/>
      <c r="F125" s="211"/>
      <c r="G125" s="211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</row>
    <row r="126" ht="23.25" customHeight="1">
      <c r="A126" s="207"/>
      <c r="B126" s="211"/>
      <c r="C126" s="211"/>
      <c r="D126" s="211"/>
      <c r="E126" s="211"/>
      <c r="F126" s="211"/>
      <c r="G126" s="211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</row>
    <row r="127" ht="23.25" customHeight="1">
      <c r="A127" s="207"/>
      <c r="B127" s="211"/>
      <c r="C127" s="211"/>
      <c r="D127" s="211"/>
      <c r="E127" s="211"/>
      <c r="F127" s="211"/>
      <c r="G127" s="211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</row>
    <row r="128" ht="23.25" customHeight="1">
      <c r="A128" s="207"/>
      <c r="B128" s="211"/>
      <c r="C128" s="211"/>
      <c r="D128" s="211"/>
      <c r="E128" s="211"/>
      <c r="F128" s="211"/>
      <c r="G128" s="211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</row>
    <row r="129" ht="23.25" customHeight="1">
      <c r="A129" s="207"/>
      <c r="B129" s="211"/>
      <c r="C129" s="211"/>
      <c r="D129" s="211"/>
      <c r="E129" s="211"/>
      <c r="F129" s="211"/>
      <c r="G129" s="211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</row>
    <row r="130" ht="23.25" customHeight="1">
      <c r="A130" s="207"/>
      <c r="B130" s="211"/>
      <c r="C130" s="211"/>
      <c r="D130" s="211"/>
      <c r="E130" s="211"/>
      <c r="F130" s="211"/>
      <c r="G130" s="211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</row>
    <row r="131" ht="23.25" customHeight="1">
      <c r="A131" s="207"/>
      <c r="B131" s="211"/>
      <c r="C131" s="211"/>
      <c r="D131" s="211"/>
      <c r="E131" s="211"/>
      <c r="F131" s="211"/>
      <c r="G131" s="211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</row>
    <row r="132" ht="23.25" customHeight="1">
      <c r="A132" s="207"/>
      <c r="B132" s="211"/>
      <c r="C132" s="211"/>
      <c r="D132" s="211"/>
      <c r="E132" s="211"/>
      <c r="F132" s="211"/>
      <c r="G132" s="211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</row>
    <row r="133" ht="23.25" customHeight="1">
      <c r="A133" s="207"/>
      <c r="B133" s="211"/>
      <c r="C133" s="211"/>
      <c r="D133" s="211"/>
      <c r="E133" s="211"/>
      <c r="F133" s="211"/>
      <c r="G133" s="211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</row>
    <row r="134" ht="23.25" customHeight="1">
      <c r="A134" s="207"/>
      <c r="B134" s="211"/>
      <c r="C134" s="211"/>
      <c r="D134" s="211"/>
      <c r="E134" s="211"/>
      <c r="F134" s="211"/>
      <c r="G134" s="211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</row>
    <row r="135" ht="23.25" customHeight="1">
      <c r="A135" s="207"/>
      <c r="B135" s="211"/>
      <c r="C135" s="211"/>
      <c r="D135" s="211"/>
      <c r="E135" s="211"/>
      <c r="F135" s="211"/>
      <c r="G135" s="211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</row>
    <row r="136" ht="23.25" customHeight="1">
      <c r="A136" s="207"/>
      <c r="B136" s="211"/>
      <c r="C136" s="211"/>
      <c r="D136" s="211"/>
      <c r="E136" s="211"/>
      <c r="F136" s="211"/>
      <c r="G136" s="211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</row>
    <row r="137" ht="23.25" customHeight="1">
      <c r="A137" s="207"/>
      <c r="B137" s="211"/>
      <c r="C137" s="211"/>
      <c r="D137" s="211"/>
      <c r="E137" s="211"/>
      <c r="F137" s="211"/>
      <c r="G137" s="211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</row>
    <row r="138" ht="23.25" customHeight="1">
      <c r="A138" s="207"/>
      <c r="B138" s="211"/>
      <c r="C138" s="211"/>
      <c r="D138" s="211"/>
      <c r="E138" s="211"/>
      <c r="F138" s="211"/>
      <c r="G138" s="211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</row>
    <row r="139" ht="23.25" customHeight="1">
      <c r="A139" s="207"/>
      <c r="B139" s="211"/>
      <c r="C139" s="211"/>
      <c r="D139" s="211"/>
      <c r="E139" s="211"/>
      <c r="F139" s="211"/>
      <c r="G139" s="211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</row>
    <row r="140" ht="23.25" customHeight="1">
      <c r="A140" s="207"/>
      <c r="B140" s="211"/>
      <c r="C140" s="211"/>
      <c r="D140" s="211"/>
      <c r="E140" s="211"/>
      <c r="F140" s="211"/>
      <c r="G140" s="211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</row>
    <row r="141" ht="23.25" customHeight="1">
      <c r="A141" s="207"/>
      <c r="B141" s="211"/>
      <c r="C141" s="211"/>
      <c r="D141" s="211"/>
      <c r="E141" s="211"/>
      <c r="F141" s="211"/>
      <c r="G141" s="211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</row>
    <row r="142" ht="23.25" customHeight="1">
      <c r="A142" s="207"/>
      <c r="B142" s="211"/>
      <c r="C142" s="211"/>
      <c r="D142" s="211"/>
      <c r="E142" s="211"/>
      <c r="F142" s="211"/>
      <c r="G142" s="211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</row>
    <row r="143" ht="23.25" customHeight="1">
      <c r="A143" s="207"/>
      <c r="B143" s="211"/>
      <c r="C143" s="211"/>
      <c r="D143" s="211"/>
      <c r="E143" s="211"/>
      <c r="F143" s="211"/>
      <c r="G143" s="211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</row>
    <row r="144" ht="23.25" customHeight="1">
      <c r="A144" s="207"/>
      <c r="B144" s="211"/>
      <c r="C144" s="211"/>
      <c r="D144" s="211"/>
      <c r="E144" s="211"/>
      <c r="F144" s="211"/>
      <c r="G144" s="211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</row>
    <row r="145" ht="23.25" customHeight="1">
      <c r="A145" s="207"/>
      <c r="B145" s="211"/>
      <c r="C145" s="211"/>
      <c r="D145" s="211"/>
      <c r="E145" s="211"/>
      <c r="F145" s="211"/>
      <c r="G145" s="211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</row>
    <row r="146" ht="23.25" customHeight="1">
      <c r="A146" s="207"/>
      <c r="B146" s="211"/>
      <c r="C146" s="211"/>
      <c r="D146" s="211"/>
      <c r="E146" s="211"/>
      <c r="F146" s="211"/>
      <c r="G146" s="211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</row>
    <row r="147" ht="23.25" customHeight="1">
      <c r="A147" s="207"/>
      <c r="B147" s="211"/>
      <c r="C147" s="211"/>
      <c r="D147" s="211"/>
      <c r="E147" s="211"/>
      <c r="F147" s="211"/>
      <c r="G147" s="211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</row>
    <row r="148" ht="23.25" customHeight="1">
      <c r="A148" s="207"/>
      <c r="B148" s="211"/>
      <c r="C148" s="211"/>
      <c r="D148" s="211"/>
      <c r="E148" s="211"/>
      <c r="F148" s="211"/>
      <c r="G148" s="211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</row>
    <row r="149" ht="23.25" customHeight="1">
      <c r="A149" s="207"/>
      <c r="B149" s="211"/>
      <c r="C149" s="211"/>
      <c r="D149" s="211"/>
      <c r="E149" s="211"/>
      <c r="F149" s="211"/>
      <c r="G149" s="211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</row>
    <row r="150" ht="23.25" customHeight="1">
      <c r="A150" s="207"/>
      <c r="B150" s="211"/>
      <c r="C150" s="211"/>
      <c r="D150" s="211"/>
      <c r="E150" s="211"/>
      <c r="F150" s="211"/>
      <c r="G150" s="211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</row>
    <row r="151" ht="23.25" customHeight="1">
      <c r="A151" s="207"/>
      <c r="B151" s="211"/>
      <c r="C151" s="211"/>
      <c r="D151" s="211"/>
      <c r="E151" s="211"/>
      <c r="F151" s="211"/>
      <c r="G151" s="211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</row>
    <row r="152" ht="23.25" customHeight="1">
      <c r="A152" s="207"/>
      <c r="B152" s="211"/>
      <c r="C152" s="211"/>
      <c r="D152" s="211"/>
      <c r="E152" s="211"/>
      <c r="F152" s="211"/>
      <c r="G152" s="211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</row>
    <row r="153" ht="23.25" customHeight="1">
      <c r="A153" s="207"/>
      <c r="B153" s="211"/>
      <c r="C153" s="211"/>
      <c r="D153" s="211"/>
      <c r="E153" s="211"/>
      <c r="F153" s="211"/>
      <c r="G153" s="211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</row>
    <row r="154" ht="23.25" customHeight="1">
      <c r="A154" s="207"/>
      <c r="B154" s="211"/>
      <c r="C154" s="211"/>
      <c r="D154" s="211"/>
      <c r="E154" s="211"/>
      <c r="F154" s="211"/>
      <c r="G154" s="211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</row>
    <row r="155" ht="23.25" customHeight="1">
      <c r="A155" s="207"/>
      <c r="B155" s="211"/>
      <c r="C155" s="211"/>
      <c r="D155" s="211"/>
      <c r="E155" s="211"/>
      <c r="F155" s="211"/>
      <c r="G155" s="211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</row>
    <row r="156" ht="23.25" customHeight="1">
      <c r="A156" s="207"/>
      <c r="B156" s="211"/>
      <c r="C156" s="211"/>
      <c r="D156" s="211"/>
      <c r="E156" s="211"/>
      <c r="F156" s="211"/>
      <c r="G156" s="211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</row>
    <row r="157" ht="42.0" customHeight="1">
      <c r="A157" s="207"/>
      <c r="B157" s="211"/>
      <c r="C157" s="211"/>
      <c r="D157" s="211"/>
      <c r="E157" s="211"/>
      <c r="F157" s="211"/>
      <c r="G157" s="211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</row>
    <row r="158" ht="23.25" customHeight="1">
      <c r="A158" s="207"/>
      <c r="B158" s="211"/>
      <c r="C158" s="211"/>
      <c r="D158" s="211"/>
      <c r="E158" s="211"/>
      <c r="F158" s="211"/>
      <c r="G158" s="211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</row>
    <row r="159" ht="54.75" customHeight="1">
      <c r="A159" s="207"/>
      <c r="B159" s="211"/>
      <c r="C159" s="211"/>
      <c r="D159" s="211"/>
      <c r="E159" s="211"/>
      <c r="F159" s="211"/>
      <c r="G159" s="211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</row>
    <row r="160" ht="54.75" customHeight="1">
      <c r="A160" s="207"/>
      <c r="B160" s="211"/>
      <c r="C160" s="211"/>
      <c r="D160" s="211"/>
      <c r="E160" s="211"/>
      <c r="F160" s="211"/>
      <c r="G160" s="211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</row>
    <row r="161" ht="54.75" customHeight="1">
      <c r="A161" s="207"/>
      <c r="B161" s="211"/>
      <c r="C161" s="211"/>
      <c r="D161" s="211"/>
      <c r="E161" s="211"/>
      <c r="F161" s="211"/>
      <c r="G161" s="211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</row>
    <row r="162" ht="54.75" customHeight="1">
      <c r="A162" s="207"/>
      <c r="B162" s="211"/>
      <c r="C162" s="211"/>
      <c r="D162" s="211"/>
      <c r="E162" s="211"/>
      <c r="F162" s="211"/>
      <c r="G162" s="211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</row>
    <row r="163" ht="54.75" customHeight="1">
      <c r="A163" s="207"/>
      <c r="B163" s="211"/>
      <c r="C163" s="211"/>
      <c r="D163" s="211"/>
      <c r="E163" s="211"/>
      <c r="F163" s="211"/>
      <c r="G163" s="211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</row>
    <row r="164" ht="23.25" customHeight="1">
      <c r="A164" s="207"/>
      <c r="B164" s="211"/>
      <c r="C164" s="211"/>
      <c r="D164" s="211"/>
      <c r="E164" s="211"/>
      <c r="F164" s="211"/>
      <c r="G164" s="211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</row>
    <row r="165" ht="23.25" customHeight="1">
      <c r="A165" s="207"/>
      <c r="B165" s="211"/>
      <c r="C165" s="211"/>
      <c r="D165" s="211"/>
      <c r="E165" s="211"/>
      <c r="F165" s="211"/>
      <c r="G165" s="211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</row>
    <row r="166" ht="23.25" customHeight="1">
      <c r="A166" s="207"/>
      <c r="B166" s="211"/>
      <c r="C166" s="211"/>
      <c r="D166" s="211"/>
      <c r="E166" s="211"/>
      <c r="F166" s="211"/>
      <c r="G166" s="211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</row>
    <row r="167" ht="23.25" customHeight="1">
      <c r="A167" s="207"/>
      <c r="B167" s="211"/>
      <c r="C167" s="211"/>
      <c r="D167" s="211"/>
      <c r="E167" s="211"/>
      <c r="F167" s="211"/>
      <c r="G167" s="211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</row>
    <row r="168" ht="23.25" customHeight="1">
      <c r="A168" s="207"/>
      <c r="B168" s="211"/>
      <c r="C168" s="211"/>
      <c r="D168" s="211"/>
      <c r="E168" s="211"/>
      <c r="F168" s="211"/>
      <c r="G168" s="211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</row>
    <row r="169" ht="23.25" customHeight="1">
      <c r="A169" s="207"/>
      <c r="B169" s="211"/>
      <c r="C169" s="211"/>
      <c r="D169" s="211"/>
      <c r="E169" s="211"/>
      <c r="F169" s="211"/>
      <c r="G169" s="211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</row>
    <row r="170" ht="23.25" customHeight="1">
      <c r="A170" s="207"/>
      <c r="B170" s="211"/>
      <c r="C170" s="211"/>
      <c r="D170" s="211"/>
      <c r="E170" s="211"/>
      <c r="F170" s="211"/>
      <c r="G170" s="211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</row>
    <row r="171" ht="23.25" customHeight="1">
      <c r="A171" s="207"/>
      <c r="B171" s="211"/>
      <c r="C171" s="211"/>
      <c r="D171" s="211"/>
      <c r="E171" s="211"/>
      <c r="F171" s="211"/>
      <c r="G171" s="211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</row>
    <row r="172" ht="23.25" customHeight="1">
      <c r="A172" s="207"/>
      <c r="B172" s="211"/>
      <c r="C172" s="211"/>
      <c r="D172" s="211"/>
      <c r="E172" s="211"/>
      <c r="F172" s="211"/>
      <c r="G172" s="211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</row>
    <row r="173" ht="23.25" customHeight="1">
      <c r="A173" s="207"/>
      <c r="B173" s="211"/>
      <c r="C173" s="211"/>
      <c r="D173" s="211"/>
      <c r="E173" s="211"/>
      <c r="F173" s="211"/>
      <c r="G173" s="211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</row>
    <row r="174" ht="23.25" customHeight="1">
      <c r="A174" s="207"/>
      <c r="B174" s="211"/>
      <c r="C174" s="211"/>
      <c r="D174" s="211"/>
      <c r="E174" s="211"/>
      <c r="F174" s="211"/>
      <c r="G174" s="211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</row>
    <row r="175" ht="23.25" customHeight="1">
      <c r="A175" s="207"/>
      <c r="B175" s="211"/>
      <c r="C175" s="211"/>
      <c r="D175" s="211"/>
      <c r="E175" s="211"/>
      <c r="F175" s="211"/>
      <c r="G175" s="211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</row>
    <row r="176" ht="23.25" customHeight="1">
      <c r="A176" s="207"/>
      <c r="B176" s="211"/>
      <c r="C176" s="211"/>
      <c r="D176" s="211"/>
      <c r="E176" s="211"/>
      <c r="F176" s="211"/>
      <c r="G176" s="211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</row>
    <row r="177" ht="23.25" customHeight="1">
      <c r="A177" s="207"/>
      <c r="B177" s="211"/>
      <c r="C177" s="211"/>
      <c r="D177" s="211"/>
      <c r="E177" s="211"/>
      <c r="F177" s="211"/>
      <c r="G177" s="211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</row>
    <row r="178" ht="23.25" customHeight="1">
      <c r="A178" s="207"/>
      <c r="B178" s="211"/>
      <c r="C178" s="211"/>
      <c r="D178" s="211"/>
      <c r="E178" s="211"/>
      <c r="F178" s="211"/>
      <c r="G178" s="211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</row>
    <row r="179" ht="23.25" customHeight="1">
      <c r="A179" s="207"/>
      <c r="B179" s="211"/>
      <c r="C179" s="211"/>
      <c r="D179" s="211"/>
      <c r="E179" s="211"/>
      <c r="F179" s="211"/>
      <c r="G179" s="211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</row>
    <row r="180" ht="23.25" customHeight="1">
      <c r="A180" s="207"/>
      <c r="B180" s="211"/>
      <c r="C180" s="211"/>
      <c r="D180" s="211"/>
      <c r="E180" s="211"/>
      <c r="F180" s="211"/>
      <c r="G180" s="211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</row>
    <row r="181" ht="23.25" customHeight="1">
      <c r="A181" s="207"/>
      <c r="B181" s="211"/>
      <c r="C181" s="211"/>
      <c r="D181" s="211"/>
      <c r="E181" s="211"/>
      <c r="F181" s="211"/>
      <c r="G181" s="211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</row>
    <row r="182" ht="23.25" customHeight="1">
      <c r="A182" s="207"/>
      <c r="B182" s="211"/>
      <c r="C182" s="211"/>
      <c r="D182" s="211"/>
      <c r="E182" s="211"/>
      <c r="F182" s="211"/>
      <c r="G182" s="211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</row>
    <row r="183" ht="23.25" customHeight="1">
      <c r="A183" s="207"/>
      <c r="B183" s="211"/>
      <c r="C183" s="211"/>
      <c r="D183" s="211"/>
      <c r="E183" s="211"/>
      <c r="F183" s="211"/>
      <c r="G183" s="211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</row>
    <row r="184" ht="23.25" customHeight="1">
      <c r="A184" s="207"/>
      <c r="B184" s="211"/>
      <c r="C184" s="211"/>
      <c r="D184" s="211"/>
      <c r="E184" s="211"/>
      <c r="F184" s="211"/>
      <c r="G184" s="211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</row>
    <row r="185" ht="23.25" customHeight="1">
      <c r="A185" s="207"/>
      <c r="B185" s="211"/>
      <c r="C185" s="211"/>
      <c r="D185" s="211"/>
      <c r="E185" s="211"/>
      <c r="F185" s="211"/>
      <c r="G185" s="211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</row>
    <row r="186" ht="23.25" customHeight="1">
      <c r="A186" s="207"/>
      <c r="B186" s="211"/>
      <c r="C186" s="211"/>
      <c r="D186" s="211"/>
      <c r="E186" s="211"/>
      <c r="F186" s="211"/>
      <c r="G186" s="211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</row>
    <row r="187" ht="23.25" customHeight="1">
      <c r="A187" s="207"/>
      <c r="B187" s="211"/>
      <c r="C187" s="211"/>
      <c r="D187" s="211"/>
      <c r="E187" s="211"/>
      <c r="F187" s="211"/>
      <c r="G187" s="211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</row>
    <row r="188" ht="23.25" customHeight="1">
      <c r="A188" s="207"/>
      <c r="B188" s="211"/>
      <c r="C188" s="211"/>
      <c r="D188" s="211"/>
      <c r="E188" s="211"/>
      <c r="F188" s="211"/>
      <c r="G188" s="211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</row>
    <row r="189" ht="23.25" customHeight="1">
      <c r="A189" s="207"/>
      <c r="B189" s="211"/>
      <c r="C189" s="211"/>
      <c r="D189" s="211"/>
      <c r="E189" s="211"/>
      <c r="F189" s="211"/>
      <c r="G189" s="211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</row>
    <row r="190" ht="23.25" customHeight="1">
      <c r="A190" s="207"/>
      <c r="B190" s="211"/>
      <c r="C190" s="211"/>
      <c r="D190" s="211"/>
      <c r="E190" s="211"/>
      <c r="F190" s="211"/>
      <c r="G190" s="211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</row>
    <row r="191" ht="23.25" customHeight="1">
      <c r="A191" s="207"/>
      <c r="B191" s="211"/>
      <c r="C191" s="211"/>
      <c r="D191" s="211"/>
      <c r="E191" s="211"/>
      <c r="F191" s="211"/>
      <c r="G191" s="211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</row>
    <row r="192" ht="23.25" customHeight="1">
      <c r="A192" s="207"/>
      <c r="B192" s="211"/>
      <c r="C192" s="211"/>
      <c r="D192" s="211"/>
      <c r="E192" s="211"/>
      <c r="F192" s="211"/>
      <c r="G192" s="211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</row>
    <row r="193" ht="23.25" customHeight="1">
      <c r="A193" s="207"/>
      <c r="B193" s="211"/>
      <c r="C193" s="211"/>
      <c r="D193" s="211"/>
      <c r="E193" s="211"/>
      <c r="F193" s="211"/>
      <c r="G193" s="211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</row>
    <row r="194" ht="23.25" customHeight="1">
      <c r="A194" s="207"/>
      <c r="B194" s="211"/>
      <c r="C194" s="211"/>
      <c r="D194" s="211"/>
      <c r="E194" s="211"/>
      <c r="F194" s="211"/>
      <c r="G194" s="211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</row>
    <row r="195" ht="23.25" customHeight="1">
      <c r="A195" s="207"/>
      <c r="B195" s="211"/>
      <c r="C195" s="211"/>
      <c r="D195" s="211"/>
      <c r="E195" s="211"/>
      <c r="F195" s="211"/>
      <c r="G195" s="211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</row>
    <row r="196" ht="55.5" customHeight="1">
      <c r="A196" s="207"/>
      <c r="B196" s="211"/>
      <c r="C196" s="211"/>
      <c r="D196" s="211"/>
      <c r="E196" s="211"/>
      <c r="F196" s="211"/>
      <c r="G196" s="211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</row>
    <row r="197" ht="23.25" customHeight="1">
      <c r="A197" s="207"/>
      <c r="B197" s="211"/>
      <c r="C197" s="211"/>
      <c r="D197" s="211"/>
      <c r="E197" s="211"/>
      <c r="F197" s="211"/>
      <c r="G197" s="211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</row>
    <row r="198" ht="23.25" customHeight="1">
      <c r="A198" s="207"/>
      <c r="B198" s="211"/>
      <c r="C198" s="211"/>
      <c r="D198" s="211"/>
      <c r="E198" s="211"/>
      <c r="F198" s="211"/>
      <c r="G198" s="211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</row>
    <row r="199" ht="23.25" customHeight="1">
      <c r="A199" s="207"/>
      <c r="B199" s="211"/>
      <c r="C199" s="211"/>
      <c r="D199" s="211"/>
      <c r="E199" s="211"/>
      <c r="F199" s="211"/>
      <c r="G199" s="211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</row>
    <row r="200" ht="12.0" customHeight="1">
      <c r="A200" s="207"/>
      <c r="B200" s="211"/>
      <c r="C200" s="211"/>
      <c r="D200" s="211"/>
      <c r="E200" s="211"/>
      <c r="F200" s="211"/>
      <c r="G200" s="211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</row>
    <row r="201" ht="12.0" customHeight="1">
      <c r="A201" s="207"/>
      <c r="B201" s="211"/>
      <c r="C201" s="211"/>
      <c r="D201" s="211"/>
      <c r="E201" s="211"/>
      <c r="F201" s="211"/>
      <c r="G201" s="211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</row>
    <row r="202" ht="12.0" customHeight="1">
      <c r="A202" s="207"/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</row>
    <row r="203" ht="12.0" customHeight="1">
      <c r="A203" s="207"/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</row>
    <row r="204" ht="12.0" customHeight="1">
      <c r="A204" s="207"/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</row>
    <row r="205" ht="12.0" customHeight="1">
      <c r="A205" s="207"/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</row>
    <row r="206" ht="12.0" customHeight="1">
      <c r="A206" s="207"/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</row>
    <row r="207" ht="12.0" customHeight="1">
      <c r="A207" s="207"/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</row>
    <row r="208" ht="12.0" customHeight="1">
      <c r="A208" s="207"/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</row>
    <row r="209" ht="12.0" customHeight="1">
      <c r="A209" s="207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</row>
    <row r="210" ht="12.0" customHeight="1">
      <c r="A210" s="207"/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</row>
    <row r="211" ht="12.0" customHeight="1">
      <c r="A211" s="207"/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</row>
    <row r="212" ht="12.0" customHeight="1">
      <c r="A212" s="207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</row>
    <row r="213" ht="12.0" customHeight="1">
      <c r="A213" s="207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</row>
    <row r="214" ht="12.0" customHeight="1">
      <c r="A214" s="207"/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</row>
    <row r="215" ht="12.0" customHeight="1">
      <c r="A215" s="207"/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</row>
    <row r="216" ht="12.0" customHeight="1">
      <c r="A216" s="207"/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</row>
    <row r="217" ht="12.0" customHeight="1">
      <c r="A217" s="207"/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</row>
    <row r="218" ht="12.0" customHeight="1">
      <c r="A218" s="207"/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</row>
    <row r="219" ht="12.0" customHeight="1">
      <c r="A219" s="207"/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</row>
    <row r="220" ht="12.0" customHeight="1">
      <c r="A220" s="207"/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</row>
    <row r="221" ht="12.0" customHeight="1">
      <c r="A221" s="207"/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</row>
    <row r="222" ht="12.0" customHeight="1">
      <c r="A222" s="207"/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</row>
    <row r="223" ht="12.0" customHeight="1">
      <c r="A223" s="207"/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</row>
    <row r="224" ht="12.0" customHeight="1">
      <c r="A224" s="207"/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</row>
    <row r="225" ht="12.0" customHeight="1">
      <c r="A225" s="207"/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</row>
    <row r="226" ht="12.0" customHeight="1">
      <c r="A226" s="207"/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</row>
    <row r="227" ht="12.0" customHeight="1">
      <c r="A227" s="207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</row>
    <row r="228" ht="12.0" customHeight="1">
      <c r="A228" s="207"/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</row>
    <row r="229" ht="12.0" customHeight="1">
      <c r="A229" s="207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</row>
    <row r="230" ht="12.0" customHeight="1">
      <c r="A230" s="207"/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</row>
    <row r="231" ht="12.0" customHeight="1">
      <c r="A231" s="207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</row>
    <row r="232" ht="12.0" customHeight="1">
      <c r="A232" s="207"/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</row>
    <row r="233" ht="12.0" customHeight="1">
      <c r="A233" s="207"/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</row>
    <row r="234" ht="12.0" customHeight="1">
      <c r="A234" s="207"/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</row>
    <row r="235" ht="12.0" customHeight="1">
      <c r="A235" s="207"/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</row>
    <row r="236" ht="12.0" customHeight="1">
      <c r="A236" s="207"/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</row>
    <row r="237" ht="12.0" customHeight="1">
      <c r="A237" s="207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</row>
    <row r="238" ht="12.0" customHeight="1">
      <c r="A238" s="207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</row>
    <row r="239" ht="12.0" customHeight="1">
      <c r="A239" s="207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</row>
    <row r="240" ht="12.0" customHeight="1">
      <c r="A240" s="207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</row>
    <row r="241" ht="12.0" customHeight="1">
      <c r="A241" s="207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</row>
    <row r="242" ht="12.0" customHeight="1">
      <c r="A242" s="207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</row>
    <row r="243" ht="12.0" customHeight="1">
      <c r="A243" s="207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</row>
    <row r="244" ht="12.0" customHeight="1">
      <c r="A244" s="207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</row>
    <row r="245" ht="12.0" customHeight="1">
      <c r="A245" s="207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</row>
    <row r="246" ht="12.0" customHeight="1">
      <c r="A246" s="207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</row>
    <row r="247" ht="12.0" customHeight="1">
      <c r="A247" s="207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</row>
    <row r="248" ht="12.0" customHeight="1">
      <c r="A248" s="207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</row>
    <row r="249" ht="12.0" customHeight="1">
      <c r="A249" s="207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</row>
    <row r="250" ht="12.0" customHeight="1">
      <c r="A250" s="207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</row>
    <row r="251" ht="12.0" customHeight="1">
      <c r="A251" s="207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</row>
    <row r="252" ht="12.0" customHeight="1">
      <c r="A252" s="207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</row>
    <row r="253" ht="12.0" customHeight="1">
      <c r="A253" s="207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</row>
    <row r="254" ht="12.0" customHeight="1">
      <c r="A254" s="207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</row>
    <row r="255" ht="12.0" customHeight="1">
      <c r="A255" s="207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</row>
    <row r="256" ht="12.0" customHeight="1">
      <c r="A256" s="207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</row>
    <row r="257" ht="12.0" customHeight="1">
      <c r="A257" s="207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</row>
    <row r="258" ht="12.0" customHeight="1">
      <c r="A258" s="207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</row>
    <row r="259" ht="12.0" customHeight="1">
      <c r="A259" s="207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</row>
    <row r="260" ht="12.0" customHeight="1">
      <c r="A260" s="207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</row>
    <row r="261" ht="12.0" customHeight="1">
      <c r="A261" s="207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</row>
    <row r="262" ht="12.0" customHeight="1">
      <c r="A262" s="207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</row>
    <row r="263" ht="12.0" customHeight="1">
      <c r="A263" s="207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</row>
    <row r="264" ht="12.0" customHeight="1">
      <c r="A264" s="207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</row>
    <row r="265" ht="12.0" customHeight="1">
      <c r="A265" s="207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</row>
    <row r="266" ht="12.0" customHeight="1">
      <c r="A266" s="207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</row>
    <row r="267" ht="12.0" customHeight="1">
      <c r="A267" s="207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</row>
    <row r="268" ht="12.0" customHeight="1">
      <c r="A268" s="207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</row>
    <row r="269" ht="12.0" customHeight="1">
      <c r="A269" s="207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</row>
    <row r="270" ht="12.0" customHeight="1">
      <c r="A270" s="207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</row>
    <row r="271" ht="12.0" customHeight="1">
      <c r="A271" s="207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</row>
    <row r="272" ht="12.0" customHeight="1">
      <c r="A272" s="207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</row>
    <row r="273" ht="12.0" customHeight="1">
      <c r="A273" s="207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</row>
    <row r="274" ht="12.0" customHeight="1">
      <c r="A274" s="207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</row>
    <row r="275" ht="12.0" customHeight="1">
      <c r="A275" s="207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</row>
    <row r="276" ht="12.0" customHeight="1">
      <c r="A276" s="207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</row>
    <row r="277" ht="12.0" customHeight="1">
      <c r="A277" s="207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</row>
    <row r="278" ht="12.0" customHeight="1">
      <c r="A278" s="207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</row>
    <row r="279" ht="12.0" customHeight="1">
      <c r="A279" s="207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</row>
    <row r="280" ht="12.0" customHeight="1">
      <c r="A280" s="207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</row>
    <row r="281" ht="12.0" customHeight="1">
      <c r="A281" s="207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</row>
    <row r="282" ht="12.0" customHeight="1">
      <c r="A282" s="207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</row>
    <row r="283" ht="12.0" customHeight="1">
      <c r="A283" s="207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</row>
    <row r="284" ht="12.0" customHeight="1">
      <c r="A284" s="207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</row>
    <row r="285" ht="12.0" customHeight="1">
      <c r="A285" s="207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</row>
    <row r="286" ht="12.0" customHeight="1">
      <c r="A286" s="207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</row>
    <row r="287" ht="12.0" customHeight="1">
      <c r="A287" s="207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</row>
    <row r="288" ht="12.0" customHeight="1">
      <c r="A288" s="207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</row>
    <row r="289" ht="12.0" customHeight="1">
      <c r="A289" s="207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</row>
    <row r="290" ht="12.0" customHeight="1">
      <c r="A290" s="207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</row>
    <row r="291" ht="12.0" customHeight="1">
      <c r="A291" s="207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</row>
    <row r="292" ht="12.0" customHeight="1">
      <c r="A292" s="207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</row>
    <row r="293" ht="12.0" customHeight="1">
      <c r="A293" s="207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</row>
    <row r="294" ht="12.0" customHeight="1">
      <c r="A294" s="207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</row>
    <row r="295" ht="12.0" customHeight="1">
      <c r="A295" s="207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</row>
    <row r="296" ht="12.0" customHeight="1">
      <c r="A296" s="207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</row>
    <row r="297" ht="12.0" customHeight="1">
      <c r="A297" s="207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</row>
    <row r="298" ht="12.0" customHeight="1">
      <c r="A298" s="207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</row>
    <row r="299" ht="12.0" customHeight="1">
      <c r="A299" s="207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</row>
    <row r="300" ht="12.0" customHeight="1">
      <c r="A300" s="207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</row>
    <row r="301" ht="12.0" customHeight="1">
      <c r="A301" s="207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</row>
    <row r="302" ht="12.0" customHeight="1">
      <c r="A302" s="207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</row>
    <row r="303" ht="12.0" customHeight="1">
      <c r="A303" s="207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</row>
    <row r="304" ht="12.0" customHeight="1">
      <c r="A304" s="207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</row>
    <row r="305" ht="12.0" customHeight="1">
      <c r="A305" s="207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</row>
    <row r="306" ht="12.0" customHeight="1">
      <c r="A306" s="207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</row>
    <row r="307" ht="12.0" customHeight="1">
      <c r="A307" s="207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</row>
    <row r="308" ht="12.0" customHeight="1">
      <c r="A308" s="207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</row>
    <row r="309" ht="12.0" customHeight="1">
      <c r="A309" s="207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</row>
    <row r="310" ht="12.0" customHeight="1">
      <c r="A310" s="207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</row>
    <row r="311" ht="12.0" customHeight="1">
      <c r="A311" s="207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</row>
    <row r="312" ht="12.0" customHeight="1">
      <c r="A312" s="207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</row>
    <row r="313" ht="12.0" customHeight="1">
      <c r="A313" s="207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</row>
    <row r="314" ht="12.0" customHeight="1">
      <c r="A314" s="207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</row>
    <row r="315" ht="12.0" customHeight="1">
      <c r="A315" s="207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</row>
    <row r="316" ht="12.0" customHeight="1">
      <c r="A316" s="207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</row>
    <row r="317" ht="12.0" customHeight="1">
      <c r="A317" s="207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</row>
    <row r="318" ht="12.0" customHeight="1">
      <c r="A318" s="207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</row>
    <row r="319" ht="12.0" customHeight="1">
      <c r="A319" s="207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</row>
    <row r="320" ht="12.0" customHeight="1">
      <c r="A320" s="207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</row>
    <row r="321" ht="12.0" customHeight="1">
      <c r="A321" s="207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</row>
    <row r="322" ht="12.0" customHeight="1">
      <c r="A322" s="207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</row>
    <row r="323" ht="12.0" customHeight="1">
      <c r="A323" s="207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</row>
    <row r="324" ht="12.0" customHeight="1">
      <c r="A324" s="207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</row>
    <row r="325" ht="12.0" customHeight="1">
      <c r="A325" s="207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</row>
    <row r="326" ht="12.0" customHeight="1">
      <c r="A326" s="207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</row>
    <row r="327" ht="12.0" customHeight="1">
      <c r="A327" s="207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</row>
    <row r="328" ht="12.0" customHeight="1">
      <c r="A328" s="207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</row>
    <row r="329" ht="12.0" customHeight="1">
      <c r="A329" s="207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</row>
    <row r="330" ht="12.0" customHeight="1">
      <c r="A330" s="207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</row>
    <row r="331" ht="12.0" customHeight="1">
      <c r="A331" s="207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</row>
    <row r="332" ht="12.0" customHeight="1">
      <c r="A332" s="207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</row>
    <row r="333" ht="12.0" customHeight="1">
      <c r="A333" s="207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</row>
    <row r="334" ht="12.0" customHeight="1">
      <c r="A334" s="207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</row>
    <row r="335" ht="12.0" customHeight="1">
      <c r="A335" s="207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</row>
    <row r="336" ht="12.0" customHeight="1">
      <c r="A336" s="207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</row>
    <row r="337" ht="12.0" customHeight="1">
      <c r="A337" s="207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</row>
    <row r="338" ht="12.0" customHeight="1">
      <c r="A338" s="207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</row>
    <row r="339" ht="12.0" customHeight="1">
      <c r="A339" s="207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</row>
    <row r="340" ht="12.0" customHeight="1">
      <c r="A340" s="207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</row>
    <row r="341" ht="12.0" customHeight="1">
      <c r="A341" s="207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</row>
    <row r="342" ht="12.0" customHeight="1">
      <c r="A342" s="207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</row>
    <row r="343" ht="12.0" customHeight="1">
      <c r="A343" s="207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</row>
    <row r="344" ht="12.0" customHeight="1">
      <c r="A344" s="207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</row>
    <row r="345" ht="12.0" customHeight="1">
      <c r="A345" s="207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</row>
    <row r="346" ht="12.0" customHeight="1">
      <c r="A346" s="207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</row>
    <row r="347" ht="12.0" customHeight="1">
      <c r="A347" s="207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</row>
    <row r="348" ht="12.0" customHeight="1">
      <c r="A348" s="207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</row>
    <row r="349" ht="12.0" customHeight="1">
      <c r="A349" s="207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</row>
    <row r="350" ht="12.0" customHeight="1">
      <c r="A350" s="207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</row>
    <row r="351" ht="12.0" customHeight="1">
      <c r="A351" s="207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</row>
    <row r="352" ht="12.0" customHeight="1">
      <c r="A352" s="207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</row>
    <row r="353" ht="12.0" customHeight="1">
      <c r="A353" s="207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</row>
    <row r="354" ht="12.0" customHeight="1">
      <c r="A354" s="207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</row>
    <row r="355" ht="12.0" customHeight="1">
      <c r="A355" s="207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</row>
    <row r="356" ht="12.0" customHeight="1">
      <c r="A356" s="207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</row>
    <row r="357" ht="12.0" customHeight="1">
      <c r="A357" s="207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</row>
    <row r="358" ht="12.0" customHeight="1">
      <c r="A358" s="207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</row>
    <row r="359" ht="12.0" customHeight="1">
      <c r="A359" s="207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</row>
    <row r="360" ht="12.0" customHeight="1">
      <c r="A360" s="207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</row>
    <row r="361" ht="12.0" customHeight="1">
      <c r="A361" s="207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</row>
    <row r="362" ht="12.0" customHeight="1">
      <c r="A362" s="207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</row>
    <row r="363" ht="12.0" customHeight="1">
      <c r="A363" s="207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</row>
    <row r="364" ht="12.0" customHeight="1">
      <c r="A364" s="207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</row>
    <row r="365" ht="12.0" customHeight="1">
      <c r="A365" s="207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</row>
    <row r="366" ht="12.0" customHeight="1">
      <c r="A366" s="207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</row>
    <row r="367" ht="12.0" customHeight="1">
      <c r="A367" s="207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</row>
    <row r="368" ht="12.0" customHeight="1">
      <c r="A368" s="207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</row>
    <row r="369" ht="12.0" customHeight="1">
      <c r="A369" s="207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</row>
    <row r="370" ht="12.0" customHeight="1">
      <c r="A370" s="207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</row>
    <row r="371" ht="12.0" customHeight="1">
      <c r="A371" s="207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</row>
    <row r="372" ht="12.0" customHeight="1">
      <c r="A372" s="207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</row>
    <row r="373" ht="12.0" customHeight="1">
      <c r="A373" s="207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</row>
    <row r="374" ht="12.0" customHeight="1">
      <c r="A374" s="207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</row>
    <row r="375" ht="12.0" customHeight="1">
      <c r="A375" s="207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</row>
    <row r="376" ht="12.0" customHeight="1">
      <c r="A376" s="207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</row>
    <row r="377" ht="12.0" customHeight="1">
      <c r="A377" s="207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</row>
    <row r="378" ht="12.0" customHeight="1">
      <c r="A378" s="207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</row>
    <row r="379" ht="12.0" customHeight="1">
      <c r="A379" s="207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</row>
    <row r="380" ht="12.0" customHeight="1">
      <c r="A380" s="207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</row>
    <row r="381" ht="12.0" customHeight="1">
      <c r="A381" s="207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</row>
    <row r="382" ht="12.0" customHeight="1">
      <c r="A382" s="207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</row>
    <row r="383" ht="12.0" customHeight="1">
      <c r="A383" s="207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</row>
    <row r="384" ht="12.0" customHeight="1">
      <c r="A384" s="207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</row>
    <row r="385" ht="12.0" customHeight="1">
      <c r="A385" s="207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</row>
    <row r="386" ht="12.0" customHeight="1">
      <c r="A386" s="207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</row>
    <row r="387" ht="12.0" customHeight="1">
      <c r="A387" s="207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</row>
    <row r="388" ht="12.0" customHeight="1">
      <c r="A388" s="207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</row>
    <row r="389" ht="12.0" customHeight="1">
      <c r="A389" s="207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</row>
    <row r="390" ht="12.0" customHeight="1">
      <c r="A390" s="207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</row>
    <row r="391" ht="12.0" customHeight="1">
      <c r="A391" s="207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</row>
    <row r="392" ht="12.0" customHeight="1">
      <c r="A392" s="207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</row>
    <row r="393" ht="12.0" customHeight="1">
      <c r="A393" s="207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</row>
    <row r="394" ht="12.0" customHeight="1">
      <c r="A394" s="207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</row>
    <row r="395" ht="12.0" customHeight="1">
      <c r="A395" s="207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</row>
    <row r="396" ht="12.0" customHeight="1">
      <c r="A396" s="207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</row>
    <row r="397" ht="12.0" customHeight="1">
      <c r="A397" s="207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</row>
    <row r="398" ht="12.0" customHeight="1">
      <c r="A398" s="207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</row>
    <row r="399" ht="15.75" customHeight="1">
      <c r="A399" s="207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</row>
    <row r="400" ht="15.75" customHeight="1">
      <c r="A400" s="207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</row>
    <row r="401" ht="15.75" customHeight="1">
      <c r="A401" s="207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</row>
    <row r="402" ht="15.75" customHeight="1">
      <c r="A402" s="207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</row>
    <row r="403" ht="15.75" customHeight="1">
      <c r="A403" s="207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</row>
    <row r="404" ht="15.75" customHeight="1">
      <c r="A404" s="207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</row>
    <row r="405" ht="15.75" customHeight="1">
      <c r="A405" s="207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</row>
    <row r="406" ht="15.75" customHeight="1">
      <c r="A406" s="207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</row>
    <row r="407" ht="15.75" customHeight="1">
      <c r="A407" s="207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</row>
    <row r="408" ht="15.75" customHeight="1">
      <c r="A408" s="207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</row>
    <row r="409" ht="15.75" customHeight="1">
      <c r="A409" s="207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</row>
    <row r="410" ht="15.75" customHeight="1">
      <c r="A410" s="207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</row>
    <row r="411" ht="15.75" customHeight="1">
      <c r="A411" s="207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</row>
    <row r="412" ht="15.75" customHeight="1">
      <c r="A412" s="207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</row>
    <row r="413" ht="15.75" customHeight="1">
      <c r="A413" s="207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</row>
    <row r="414" ht="15.75" customHeight="1">
      <c r="A414" s="207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</row>
    <row r="415" ht="15.75" customHeight="1">
      <c r="A415" s="207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</row>
    <row r="416" ht="15.75" customHeight="1">
      <c r="A416" s="207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</row>
    <row r="417" ht="15.75" customHeight="1">
      <c r="A417" s="207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</row>
    <row r="418" ht="15.75" customHeight="1">
      <c r="A418" s="207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</row>
    <row r="419" ht="15.75" customHeight="1">
      <c r="A419" s="207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</row>
    <row r="420" ht="15.75" customHeight="1">
      <c r="A420" s="207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</row>
    <row r="421" ht="15.75" customHeight="1">
      <c r="A421" s="207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</row>
    <row r="422" ht="15.75" customHeight="1">
      <c r="A422" s="207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</row>
    <row r="423" ht="15.75" customHeight="1">
      <c r="A423" s="207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</row>
    <row r="424" ht="15.75" customHeight="1">
      <c r="A424" s="207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</row>
    <row r="425" ht="15.75" customHeight="1">
      <c r="A425" s="207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</row>
    <row r="426" ht="15.75" customHeight="1">
      <c r="A426" s="207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</row>
    <row r="427" ht="15.75" customHeight="1">
      <c r="A427" s="207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</row>
    <row r="428" ht="15.75" customHeight="1">
      <c r="A428" s="207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</row>
    <row r="429" ht="15.75" customHeight="1">
      <c r="A429" s="207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</row>
    <row r="430" ht="15.75" customHeight="1">
      <c r="A430" s="207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</row>
    <row r="431" ht="15.75" customHeight="1">
      <c r="A431" s="207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</row>
    <row r="432" ht="15.75" customHeight="1">
      <c r="A432" s="207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</row>
    <row r="433" ht="15.75" customHeight="1">
      <c r="A433" s="207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</row>
    <row r="434" ht="15.75" customHeight="1">
      <c r="A434" s="207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</row>
    <row r="435" ht="15.75" customHeight="1">
      <c r="A435" s="207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</row>
    <row r="436" ht="15.75" customHeight="1">
      <c r="A436" s="207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</row>
    <row r="437" ht="15.75" customHeight="1">
      <c r="A437" s="207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</row>
    <row r="438" ht="15.75" customHeight="1">
      <c r="A438" s="207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</row>
    <row r="439" ht="15.75" customHeight="1">
      <c r="A439" s="207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</row>
    <row r="440" ht="15.75" customHeight="1">
      <c r="A440" s="207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</row>
    <row r="441" ht="15.75" customHeight="1">
      <c r="A441" s="207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</row>
    <row r="442" ht="15.75" customHeight="1">
      <c r="A442" s="207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</row>
    <row r="443" ht="15.75" customHeight="1">
      <c r="A443" s="207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</row>
    <row r="444" ht="15.75" customHeight="1">
      <c r="A444" s="207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</row>
    <row r="445" ht="15.75" customHeight="1">
      <c r="A445" s="207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</row>
    <row r="446" ht="15.75" customHeight="1">
      <c r="A446" s="207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</row>
    <row r="447" ht="15.75" customHeight="1">
      <c r="A447" s="207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</row>
    <row r="448" ht="15.75" customHeight="1">
      <c r="A448" s="207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</row>
    <row r="449" ht="15.75" customHeight="1">
      <c r="A449" s="207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</row>
    <row r="450" ht="15.75" customHeight="1">
      <c r="A450" s="207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</row>
    <row r="451" ht="15.75" customHeight="1">
      <c r="A451" s="207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</row>
    <row r="452" ht="15.75" customHeight="1">
      <c r="A452" s="207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</row>
    <row r="453" ht="15.75" customHeight="1">
      <c r="A453" s="207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</row>
    <row r="454" ht="15.75" customHeight="1">
      <c r="A454" s="207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</row>
    <row r="455" ht="15.75" customHeight="1">
      <c r="A455" s="207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</row>
    <row r="456" ht="15.75" customHeight="1">
      <c r="A456" s="207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</row>
    <row r="457" ht="15.75" customHeight="1">
      <c r="A457" s="207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</row>
    <row r="458" ht="15.75" customHeight="1">
      <c r="A458" s="207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</row>
    <row r="459" ht="15.75" customHeight="1">
      <c r="A459" s="207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</row>
    <row r="460" ht="15.75" customHeight="1">
      <c r="A460" s="207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</row>
    <row r="461" ht="15.75" customHeight="1">
      <c r="A461" s="207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</row>
    <row r="462" ht="15.75" customHeight="1">
      <c r="A462" s="207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</row>
    <row r="463" ht="15.75" customHeight="1">
      <c r="A463" s="207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</row>
    <row r="464" ht="15.75" customHeight="1">
      <c r="A464" s="207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</row>
    <row r="465" ht="15.75" customHeight="1">
      <c r="A465" s="207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</row>
    <row r="466" ht="15.75" customHeight="1">
      <c r="A466" s="207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</row>
    <row r="467" ht="15.75" customHeight="1">
      <c r="A467" s="207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</row>
    <row r="468" ht="15.75" customHeight="1">
      <c r="A468" s="207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</row>
    <row r="469" ht="15.75" customHeight="1">
      <c r="A469" s="207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</row>
    <row r="470" ht="15.75" customHeight="1">
      <c r="A470" s="207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</row>
    <row r="471" ht="15.75" customHeight="1">
      <c r="A471" s="207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</row>
    <row r="472" ht="15.75" customHeight="1">
      <c r="A472" s="207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</row>
    <row r="473" ht="15.75" customHeight="1">
      <c r="A473" s="207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</row>
    <row r="474" ht="15.75" customHeight="1">
      <c r="A474" s="207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</row>
    <row r="475" ht="15.75" customHeight="1">
      <c r="A475" s="207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</row>
    <row r="476" ht="15.75" customHeight="1">
      <c r="A476" s="207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</row>
    <row r="477" ht="15.75" customHeight="1">
      <c r="A477" s="207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</row>
    <row r="478" ht="15.75" customHeight="1">
      <c r="A478" s="207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</row>
    <row r="479" ht="15.75" customHeight="1">
      <c r="A479" s="207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</row>
    <row r="480" ht="15.75" customHeight="1">
      <c r="A480" s="207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</row>
    <row r="481" ht="15.75" customHeight="1">
      <c r="A481" s="207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</row>
    <row r="482" ht="15.75" customHeight="1">
      <c r="A482" s="207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</row>
    <row r="483" ht="15.75" customHeight="1">
      <c r="A483" s="207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</row>
    <row r="484" ht="15.75" customHeight="1">
      <c r="A484" s="207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</row>
    <row r="485" ht="15.75" customHeight="1">
      <c r="A485" s="207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</row>
    <row r="486" ht="15.75" customHeight="1">
      <c r="A486" s="207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</row>
    <row r="487" ht="15.75" customHeight="1">
      <c r="A487" s="207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</row>
    <row r="488" ht="15.75" customHeight="1">
      <c r="A488" s="207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</row>
    <row r="489" ht="15.75" customHeight="1">
      <c r="A489" s="207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</row>
    <row r="490" ht="15.75" customHeight="1">
      <c r="A490" s="207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</row>
    <row r="491" ht="15.75" customHeight="1">
      <c r="A491" s="207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</row>
    <row r="492" ht="15.75" customHeight="1">
      <c r="A492" s="207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</row>
    <row r="493" ht="15.75" customHeight="1">
      <c r="A493" s="207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</row>
    <row r="494" ht="15.75" customHeight="1">
      <c r="A494" s="207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</row>
    <row r="495" ht="15.75" customHeight="1">
      <c r="A495" s="207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</row>
    <row r="496" ht="15.75" customHeight="1">
      <c r="A496" s="207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</row>
    <row r="497" ht="15.75" customHeight="1">
      <c r="A497" s="207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</row>
    <row r="498" ht="15.75" customHeight="1">
      <c r="A498" s="207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</row>
    <row r="499" ht="15.75" customHeight="1">
      <c r="A499" s="207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</row>
    <row r="500" ht="15.75" customHeight="1">
      <c r="A500" s="207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</row>
    <row r="501" ht="15.75" customHeight="1">
      <c r="A501" s="207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</row>
    <row r="502" ht="15.75" customHeight="1">
      <c r="A502" s="207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</row>
    <row r="503" ht="15.75" customHeight="1">
      <c r="A503" s="207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</row>
    <row r="504" ht="15.75" customHeight="1">
      <c r="A504" s="207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</row>
    <row r="505" ht="15.75" customHeight="1">
      <c r="A505" s="207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</row>
    <row r="506" ht="15.75" customHeight="1">
      <c r="A506" s="207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</row>
    <row r="507" ht="15.75" customHeight="1">
      <c r="A507" s="207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</row>
    <row r="508" ht="15.75" customHeight="1">
      <c r="A508" s="207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</row>
    <row r="509" ht="15.75" customHeight="1">
      <c r="A509" s="207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</row>
    <row r="510" ht="15.75" customHeight="1">
      <c r="A510" s="207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</row>
    <row r="511" ht="15.75" customHeight="1">
      <c r="A511" s="207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</row>
    <row r="512" ht="15.75" customHeight="1">
      <c r="A512" s="207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</row>
    <row r="513" ht="15.75" customHeight="1">
      <c r="A513" s="207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</row>
    <row r="514" ht="15.75" customHeight="1">
      <c r="A514" s="207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</row>
    <row r="515" ht="15.75" customHeight="1">
      <c r="A515" s="207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</row>
    <row r="516" ht="15.75" customHeight="1">
      <c r="A516" s="207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</row>
    <row r="517" ht="15.75" customHeight="1">
      <c r="A517" s="207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</row>
    <row r="518" ht="15.75" customHeight="1">
      <c r="A518" s="207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</row>
    <row r="519" ht="15.75" customHeight="1">
      <c r="A519" s="207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</row>
    <row r="520" ht="15.75" customHeight="1">
      <c r="A520" s="207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</row>
    <row r="521" ht="15.75" customHeight="1">
      <c r="A521" s="207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</row>
    <row r="522" ht="15.75" customHeight="1">
      <c r="A522" s="207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</row>
    <row r="523" ht="15.75" customHeight="1">
      <c r="A523" s="207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</row>
    <row r="524" ht="15.75" customHeight="1">
      <c r="A524" s="207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</row>
    <row r="525" ht="15.75" customHeight="1">
      <c r="A525" s="207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</row>
    <row r="526" ht="15.75" customHeight="1">
      <c r="A526" s="207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</row>
    <row r="527" ht="15.75" customHeight="1">
      <c r="A527" s="207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</row>
    <row r="528" ht="15.75" customHeight="1">
      <c r="A528" s="207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</row>
    <row r="529" ht="15.75" customHeight="1">
      <c r="A529" s="207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</row>
    <row r="530" ht="15.75" customHeight="1">
      <c r="A530" s="207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</row>
    <row r="531" ht="15.75" customHeight="1">
      <c r="A531" s="207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</row>
    <row r="532" ht="15.75" customHeight="1">
      <c r="A532" s="207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</row>
    <row r="533" ht="15.75" customHeight="1">
      <c r="A533" s="207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</row>
    <row r="534" ht="15.75" customHeight="1">
      <c r="A534" s="207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</row>
    <row r="535" ht="15.75" customHeight="1">
      <c r="A535" s="207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</row>
    <row r="536" ht="15.75" customHeight="1">
      <c r="A536" s="207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</row>
    <row r="537" ht="15.75" customHeight="1">
      <c r="A537" s="207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</row>
    <row r="538" ht="15.75" customHeight="1">
      <c r="A538" s="207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</row>
    <row r="539" ht="15.75" customHeight="1">
      <c r="A539" s="207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</row>
    <row r="540" ht="15.75" customHeight="1">
      <c r="A540" s="207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</row>
    <row r="541" ht="15.75" customHeight="1">
      <c r="A541" s="207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</row>
    <row r="542" ht="15.75" customHeight="1">
      <c r="A542" s="207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</row>
    <row r="543" ht="15.75" customHeight="1">
      <c r="A543" s="207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</row>
    <row r="544" ht="15.75" customHeight="1">
      <c r="A544" s="207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</row>
    <row r="545" ht="15.75" customHeight="1">
      <c r="A545" s="207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</row>
    <row r="546" ht="15.75" customHeight="1">
      <c r="A546" s="207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</row>
    <row r="547" ht="15.75" customHeight="1">
      <c r="A547" s="207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</row>
    <row r="548" ht="15.75" customHeight="1">
      <c r="A548" s="207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</row>
    <row r="549" ht="15.75" customHeight="1">
      <c r="A549" s="207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</row>
    <row r="550" ht="15.75" customHeight="1">
      <c r="A550" s="207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</row>
    <row r="551" ht="15.75" customHeight="1">
      <c r="A551" s="207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</row>
    <row r="552" ht="15.75" customHeight="1">
      <c r="A552" s="207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</row>
    <row r="553" ht="15.75" customHeight="1">
      <c r="A553" s="207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</row>
    <row r="554" ht="15.75" customHeight="1">
      <c r="A554" s="207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</row>
    <row r="555" ht="15.75" customHeight="1">
      <c r="A555" s="207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</row>
    <row r="556" ht="15.75" customHeight="1">
      <c r="A556" s="207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</row>
    <row r="557" ht="15.75" customHeight="1">
      <c r="A557" s="207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</row>
    <row r="558" ht="15.75" customHeight="1">
      <c r="A558" s="207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</row>
    <row r="559" ht="15.75" customHeight="1">
      <c r="A559" s="207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</row>
    <row r="560" ht="15.75" customHeight="1">
      <c r="A560" s="207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</row>
    <row r="561" ht="15.75" customHeight="1">
      <c r="A561" s="207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</row>
    <row r="562" ht="15.75" customHeight="1">
      <c r="A562" s="207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</row>
    <row r="563" ht="15.75" customHeight="1">
      <c r="A563" s="207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</row>
    <row r="564" ht="15.75" customHeight="1">
      <c r="A564" s="207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</row>
    <row r="565" ht="15.75" customHeight="1">
      <c r="A565" s="207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</row>
    <row r="566" ht="15.75" customHeight="1">
      <c r="A566" s="207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</row>
    <row r="567" ht="15.75" customHeight="1">
      <c r="A567" s="207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</row>
    <row r="568" ht="15.75" customHeight="1">
      <c r="A568" s="207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</row>
    <row r="569" ht="15.75" customHeight="1">
      <c r="A569" s="207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</row>
    <row r="570" ht="15.75" customHeight="1">
      <c r="A570" s="207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</row>
    <row r="571" ht="15.75" customHeight="1">
      <c r="A571" s="207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</row>
    <row r="572" ht="15.75" customHeight="1">
      <c r="A572" s="207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</row>
    <row r="573" ht="15.75" customHeight="1">
      <c r="A573" s="207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</row>
    <row r="574" ht="15.75" customHeight="1">
      <c r="A574" s="207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</row>
    <row r="575" ht="15.75" customHeight="1">
      <c r="A575" s="207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</row>
    <row r="576" ht="15.75" customHeight="1">
      <c r="A576" s="207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</row>
    <row r="577" ht="15.75" customHeight="1">
      <c r="A577" s="207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</row>
    <row r="578" ht="15.75" customHeight="1">
      <c r="A578" s="207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</row>
    <row r="579" ht="15.75" customHeight="1">
      <c r="A579" s="207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</row>
    <row r="580" ht="15.75" customHeight="1">
      <c r="A580" s="207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</row>
    <row r="581" ht="15.75" customHeight="1">
      <c r="A581" s="207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</row>
    <row r="582" ht="15.75" customHeight="1">
      <c r="A582" s="207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</row>
    <row r="583" ht="15.75" customHeight="1">
      <c r="A583" s="207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</row>
    <row r="584" ht="15.75" customHeight="1">
      <c r="A584" s="207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</row>
    <row r="585" ht="15.75" customHeight="1">
      <c r="A585" s="207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</row>
    <row r="586" ht="15.75" customHeight="1">
      <c r="A586" s="207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</row>
    <row r="587" ht="15.75" customHeight="1">
      <c r="A587" s="207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</row>
    <row r="588" ht="15.75" customHeight="1">
      <c r="A588" s="207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</row>
    <row r="589" ht="15.75" customHeight="1">
      <c r="A589" s="207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</row>
    <row r="590" ht="15.75" customHeight="1">
      <c r="A590" s="207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</row>
    <row r="591" ht="15.75" customHeight="1">
      <c r="A591" s="207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</row>
    <row r="592" ht="15.75" customHeight="1">
      <c r="A592" s="207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</row>
    <row r="593" ht="15.75" customHeight="1">
      <c r="A593" s="207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</row>
    <row r="594" ht="15.75" customHeight="1">
      <c r="A594" s="207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</row>
    <row r="595" ht="15.75" customHeight="1">
      <c r="A595" s="207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</row>
    <row r="596" ht="15.75" customHeight="1">
      <c r="A596" s="207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</row>
    <row r="597" ht="15.75" customHeight="1">
      <c r="A597" s="207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</row>
    <row r="598" ht="15.75" customHeight="1">
      <c r="A598" s="207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</row>
    <row r="599" ht="15.75" customHeight="1">
      <c r="A599" s="207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</row>
    <row r="600" ht="15.75" customHeight="1">
      <c r="A600" s="207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</row>
    <row r="601" ht="15.75" customHeight="1">
      <c r="A601" s="207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</row>
    <row r="602" ht="15.75" customHeight="1">
      <c r="A602" s="207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</row>
    <row r="603" ht="15.75" customHeight="1">
      <c r="A603" s="207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</row>
    <row r="604" ht="15.75" customHeight="1">
      <c r="A604" s="207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</row>
    <row r="605" ht="15.75" customHeight="1">
      <c r="A605" s="207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</row>
    <row r="606" ht="15.75" customHeight="1">
      <c r="A606" s="207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</row>
    <row r="607" ht="15.75" customHeight="1">
      <c r="A607" s="207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</row>
    <row r="608" ht="15.75" customHeight="1">
      <c r="A608" s="207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</row>
    <row r="609" ht="15.75" customHeight="1">
      <c r="A609" s="207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</row>
    <row r="610" ht="15.75" customHeight="1">
      <c r="A610" s="207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</row>
    <row r="611" ht="15.75" customHeight="1">
      <c r="A611" s="207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</row>
    <row r="612" ht="15.75" customHeight="1">
      <c r="A612" s="207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</row>
    <row r="613" ht="15.75" customHeight="1">
      <c r="A613" s="207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</row>
    <row r="614" ht="15.75" customHeight="1">
      <c r="A614" s="207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</row>
    <row r="615" ht="15.75" customHeight="1">
      <c r="A615" s="207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</row>
    <row r="616" ht="15.75" customHeight="1">
      <c r="A616" s="207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</row>
    <row r="617" ht="15.75" customHeight="1">
      <c r="A617" s="207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</row>
    <row r="618" ht="15.75" customHeight="1">
      <c r="A618" s="207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</row>
    <row r="619" ht="15.75" customHeight="1">
      <c r="A619" s="207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</row>
    <row r="620" ht="15.75" customHeight="1">
      <c r="A620" s="207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</row>
    <row r="621" ht="15.75" customHeight="1">
      <c r="A621" s="207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</row>
    <row r="622" ht="15.75" customHeight="1">
      <c r="A622" s="207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</row>
    <row r="623" ht="15.75" customHeight="1">
      <c r="A623" s="207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</row>
    <row r="624" ht="15.75" customHeight="1">
      <c r="A624" s="207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</row>
    <row r="625" ht="15.75" customHeight="1">
      <c r="A625" s="207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</row>
    <row r="626" ht="15.75" customHeight="1">
      <c r="A626" s="207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</row>
    <row r="627" ht="15.75" customHeight="1">
      <c r="A627" s="207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</row>
    <row r="628" ht="15.75" customHeight="1">
      <c r="A628" s="207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</row>
    <row r="629" ht="15.75" customHeight="1">
      <c r="A629" s="207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</row>
    <row r="630" ht="15.75" customHeight="1">
      <c r="A630" s="207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</row>
    <row r="631" ht="15.75" customHeight="1">
      <c r="A631" s="207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</row>
    <row r="632" ht="15.75" customHeight="1">
      <c r="A632" s="207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</row>
    <row r="633" ht="15.75" customHeight="1">
      <c r="A633" s="207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</row>
    <row r="634" ht="15.75" customHeight="1">
      <c r="A634" s="207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</row>
    <row r="635" ht="15.75" customHeight="1">
      <c r="A635" s="207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</row>
    <row r="636" ht="15.75" customHeight="1">
      <c r="A636" s="207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</row>
    <row r="637" ht="15.75" customHeight="1">
      <c r="A637" s="207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</row>
    <row r="638" ht="15.75" customHeight="1">
      <c r="A638" s="207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</row>
    <row r="639" ht="15.75" customHeight="1">
      <c r="A639" s="207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</row>
    <row r="640" ht="15.75" customHeight="1">
      <c r="A640" s="207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</row>
    <row r="641" ht="15.75" customHeight="1">
      <c r="A641" s="207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</row>
    <row r="642" ht="15.75" customHeight="1">
      <c r="A642" s="207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</row>
    <row r="643" ht="15.75" customHeight="1">
      <c r="A643" s="207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</row>
    <row r="644" ht="15.75" customHeight="1">
      <c r="A644" s="207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</row>
    <row r="645" ht="15.75" customHeight="1">
      <c r="A645" s="207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</row>
    <row r="646" ht="15.75" customHeight="1">
      <c r="A646" s="207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</row>
    <row r="647" ht="15.75" customHeight="1">
      <c r="A647" s="207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</row>
    <row r="648" ht="15.75" customHeight="1">
      <c r="A648" s="207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</row>
    <row r="649" ht="15.75" customHeight="1">
      <c r="A649" s="207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</row>
    <row r="650" ht="15.75" customHeight="1">
      <c r="A650" s="207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</row>
    <row r="651" ht="15.75" customHeight="1">
      <c r="A651" s="207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</row>
    <row r="652" ht="15.75" customHeight="1">
      <c r="A652" s="207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</row>
    <row r="653" ht="15.75" customHeight="1">
      <c r="A653" s="207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</row>
    <row r="654" ht="15.75" customHeight="1">
      <c r="A654" s="207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</row>
    <row r="655" ht="15.75" customHeight="1">
      <c r="A655" s="207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</row>
    <row r="656" ht="15.75" customHeight="1">
      <c r="A656" s="207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</row>
    <row r="657" ht="15.75" customHeight="1">
      <c r="A657" s="207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</row>
    <row r="658" ht="15.75" customHeight="1">
      <c r="A658" s="207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</row>
    <row r="659" ht="15.75" customHeight="1">
      <c r="A659" s="207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</row>
    <row r="660" ht="15.75" customHeight="1">
      <c r="A660" s="207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</row>
    <row r="661" ht="15.75" customHeight="1">
      <c r="A661" s="207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</row>
    <row r="662" ht="15.75" customHeight="1">
      <c r="A662" s="207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</row>
    <row r="663" ht="15.75" customHeight="1">
      <c r="A663" s="207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</row>
    <row r="664" ht="15.75" customHeight="1">
      <c r="A664" s="207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</row>
    <row r="665" ht="15.75" customHeight="1">
      <c r="A665" s="207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</row>
    <row r="666" ht="15.75" customHeight="1">
      <c r="A666" s="207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</row>
    <row r="667" ht="15.75" customHeight="1">
      <c r="A667" s="207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</row>
    <row r="668" ht="15.75" customHeight="1">
      <c r="A668" s="207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</row>
    <row r="669" ht="15.75" customHeight="1">
      <c r="A669" s="207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</row>
    <row r="670" ht="15.75" customHeight="1">
      <c r="A670" s="207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</row>
    <row r="671" ht="15.75" customHeight="1">
      <c r="A671" s="207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</row>
    <row r="672" ht="15.75" customHeight="1">
      <c r="A672" s="207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</row>
    <row r="673" ht="15.75" customHeight="1">
      <c r="A673" s="207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</row>
    <row r="674" ht="15.75" customHeight="1">
      <c r="A674" s="207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</row>
    <row r="675" ht="15.75" customHeight="1">
      <c r="A675" s="207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</row>
    <row r="676" ht="15.75" customHeight="1">
      <c r="A676" s="207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</row>
    <row r="677" ht="15.75" customHeight="1">
      <c r="A677" s="207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</row>
    <row r="678" ht="15.75" customHeight="1">
      <c r="A678" s="207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</row>
    <row r="679" ht="15.75" customHeight="1">
      <c r="A679" s="207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</row>
    <row r="680" ht="15.75" customHeight="1">
      <c r="A680" s="207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</row>
    <row r="681" ht="15.75" customHeight="1">
      <c r="A681" s="207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</row>
    <row r="682" ht="15.75" customHeight="1">
      <c r="A682" s="207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</row>
    <row r="683" ht="15.75" customHeight="1">
      <c r="A683" s="207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</row>
    <row r="684" ht="15.75" customHeight="1">
      <c r="A684" s="207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</row>
    <row r="685" ht="15.75" customHeight="1">
      <c r="A685" s="207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</row>
    <row r="686" ht="15.75" customHeight="1">
      <c r="A686" s="207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</row>
    <row r="687" ht="15.75" customHeight="1">
      <c r="A687" s="207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</row>
    <row r="688" ht="15.75" customHeight="1">
      <c r="A688" s="207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</row>
    <row r="689" ht="15.75" customHeight="1">
      <c r="A689" s="207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</row>
    <row r="690" ht="15.75" customHeight="1">
      <c r="A690" s="207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</row>
    <row r="691" ht="15.75" customHeight="1">
      <c r="A691" s="207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</row>
    <row r="692" ht="15.75" customHeight="1">
      <c r="A692" s="207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</row>
    <row r="693" ht="15.75" customHeight="1">
      <c r="A693" s="207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</row>
    <row r="694" ht="15.75" customHeight="1">
      <c r="A694" s="207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</row>
    <row r="695" ht="15.75" customHeight="1">
      <c r="A695" s="207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</row>
    <row r="696" ht="15.75" customHeight="1">
      <c r="A696" s="207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</row>
    <row r="697" ht="15.75" customHeight="1">
      <c r="A697" s="207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</row>
    <row r="698" ht="15.75" customHeight="1">
      <c r="A698" s="207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</row>
    <row r="699" ht="15.75" customHeight="1">
      <c r="A699" s="207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</row>
    <row r="700" ht="15.75" customHeight="1">
      <c r="A700" s="207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</row>
    <row r="701" ht="15.75" customHeight="1">
      <c r="A701" s="207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</row>
    <row r="702" ht="15.75" customHeight="1">
      <c r="A702" s="207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</row>
    <row r="703" ht="15.75" customHeight="1">
      <c r="A703" s="207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</row>
    <row r="704" ht="15.75" customHeight="1">
      <c r="A704" s="207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</row>
    <row r="705" ht="15.75" customHeight="1">
      <c r="A705" s="207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</row>
    <row r="706" ht="15.75" customHeight="1">
      <c r="A706" s="207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</row>
    <row r="707" ht="15.75" customHeight="1">
      <c r="A707" s="207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</row>
    <row r="708" ht="15.75" customHeight="1">
      <c r="A708" s="207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</row>
    <row r="709" ht="15.75" customHeight="1">
      <c r="A709" s="207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</row>
    <row r="710" ht="15.75" customHeight="1">
      <c r="A710" s="207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</row>
    <row r="711" ht="15.75" customHeight="1">
      <c r="A711" s="207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</row>
    <row r="712" ht="15.75" customHeight="1">
      <c r="A712" s="207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</row>
    <row r="713" ht="15.75" customHeight="1">
      <c r="A713" s="207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</row>
    <row r="714" ht="15.75" customHeight="1">
      <c r="A714" s="207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</row>
    <row r="715" ht="15.75" customHeight="1">
      <c r="A715" s="207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</row>
    <row r="716" ht="15.75" customHeight="1">
      <c r="A716" s="207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</row>
    <row r="717" ht="15.75" customHeight="1">
      <c r="A717" s="207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</row>
    <row r="718" ht="15.75" customHeight="1">
      <c r="A718" s="207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</row>
    <row r="719" ht="15.75" customHeight="1">
      <c r="A719" s="207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</row>
    <row r="720" ht="15.75" customHeight="1">
      <c r="A720" s="207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</row>
    <row r="721" ht="15.75" customHeight="1">
      <c r="A721" s="207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</row>
    <row r="722" ht="15.75" customHeight="1">
      <c r="A722" s="207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</row>
    <row r="723" ht="15.75" customHeight="1">
      <c r="A723" s="207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</row>
    <row r="724" ht="15.75" customHeight="1">
      <c r="A724" s="207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</row>
    <row r="725" ht="15.75" customHeight="1">
      <c r="A725" s="207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</row>
    <row r="726" ht="15.75" customHeight="1">
      <c r="A726" s="207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</row>
    <row r="727" ht="15.75" customHeight="1">
      <c r="A727" s="207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</row>
    <row r="728" ht="15.75" customHeight="1">
      <c r="A728" s="207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</row>
    <row r="729" ht="15.75" customHeight="1">
      <c r="A729" s="207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</row>
    <row r="730" ht="15.75" customHeight="1">
      <c r="A730" s="207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</row>
    <row r="731" ht="15.75" customHeight="1">
      <c r="A731" s="207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</row>
    <row r="732" ht="15.75" customHeight="1">
      <c r="A732" s="207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</row>
    <row r="733" ht="15.75" customHeight="1">
      <c r="A733" s="207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</row>
    <row r="734" ht="15.75" customHeight="1">
      <c r="A734" s="207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</row>
    <row r="735" ht="15.75" customHeight="1">
      <c r="A735" s="207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</row>
    <row r="736" ht="15.75" customHeight="1">
      <c r="A736" s="207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</row>
    <row r="737" ht="15.75" customHeight="1">
      <c r="A737" s="207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</row>
    <row r="738" ht="15.75" customHeight="1">
      <c r="A738" s="207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</row>
    <row r="739" ht="15.75" customHeight="1">
      <c r="A739" s="207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</row>
    <row r="740" ht="15.75" customHeight="1">
      <c r="A740" s="207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</row>
    <row r="741" ht="15.75" customHeight="1">
      <c r="A741" s="207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</row>
    <row r="742" ht="15.75" customHeight="1">
      <c r="A742" s="207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</row>
    <row r="743" ht="15.75" customHeight="1">
      <c r="A743" s="207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</row>
    <row r="744" ht="15.75" customHeight="1">
      <c r="A744" s="207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</row>
    <row r="745" ht="15.75" customHeight="1">
      <c r="A745" s="207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</row>
    <row r="746" ht="15.75" customHeight="1">
      <c r="A746" s="207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</row>
    <row r="747" ht="15.75" customHeight="1">
      <c r="A747" s="207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</row>
    <row r="748" ht="15.75" customHeight="1">
      <c r="A748" s="207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</row>
    <row r="749" ht="15.75" customHeight="1">
      <c r="A749" s="207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</row>
    <row r="750" ht="15.75" customHeight="1">
      <c r="A750" s="207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</row>
    <row r="751" ht="15.75" customHeight="1">
      <c r="A751" s="207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</row>
    <row r="752" ht="15.75" customHeight="1">
      <c r="A752" s="207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</row>
    <row r="753" ht="15.75" customHeight="1">
      <c r="A753" s="207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</row>
    <row r="754" ht="15.75" customHeight="1">
      <c r="A754" s="207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</row>
    <row r="755" ht="15.75" customHeight="1">
      <c r="A755" s="207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</row>
    <row r="756" ht="15.75" customHeight="1">
      <c r="A756" s="207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</row>
    <row r="757" ht="15.75" customHeight="1">
      <c r="A757" s="207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</row>
    <row r="758" ht="15.75" customHeight="1">
      <c r="A758" s="207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</row>
    <row r="759" ht="15.75" customHeight="1">
      <c r="A759" s="207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</row>
    <row r="760" ht="15.75" customHeight="1">
      <c r="A760" s="207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</row>
    <row r="761" ht="15.75" customHeight="1">
      <c r="A761" s="207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</row>
    <row r="762" ht="15.75" customHeight="1">
      <c r="A762" s="207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</row>
    <row r="763" ht="15.75" customHeight="1">
      <c r="A763" s="207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</row>
    <row r="764" ht="15.75" customHeight="1">
      <c r="A764" s="207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</row>
    <row r="765" ht="15.75" customHeight="1">
      <c r="A765" s="207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</row>
    <row r="766" ht="15.75" customHeight="1">
      <c r="A766" s="207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</row>
    <row r="767" ht="15.75" customHeight="1">
      <c r="A767" s="207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</row>
    <row r="768" ht="15.75" customHeight="1">
      <c r="A768" s="207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</row>
    <row r="769" ht="15.75" customHeight="1">
      <c r="A769" s="207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</row>
    <row r="770" ht="15.75" customHeight="1">
      <c r="A770" s="207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</row>
    <row r="771" ht="15.75" customHeight="1">
      <c r="A771" s="207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</row>
    <row r="772" ht="15.75" customHeight="1">
      <c r="A772" s="207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</row>
    <row r="773" ht="15.75" customHeight="1">
      <c r="A773" s="207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</row>
    <row r="774" ht="15.75" customHeight="1">
      <c r="A774" s="207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</row>
    <row r="775" ht="15.75" customHeight="1">
      <c r="A775" s="207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</row>
    <row r="776" ht="15.75" customHeight="1">
      <c r="A776" s="207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</row>
    <row r="777" ht="15.75" customHeight="1">
      <c r="A777" s="207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</row>
    <row r="778" ht="15.75" customHeight="1">
      <c r="A778" s="207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</row>
    <row r="779" ht="15.75" customHeight="1">
      <c r="A779" s="207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</row>
    <row r="780" ht="15.75" customHeight="1">
      <c r="A780" s="207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</row>
    <row r="781" ht="15.75" customHeight="1">
      <c r="A781" s="207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</row>
    <row r="782" ht="15.75" customHeight="1">
      <c r="A782" s="207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</row>
    <row r="783" ht="15.75" customHeight="1">
      <c r="A783" s="207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</row>
    <row r="784" ht="15.75" customHeight="1">
      <c r="A784" s="207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</row>
    <row r="785" ht="15.75" customHeight="1">
      <c r="A785" s="207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</row>
    <row r="786" ht="15.75" customHeight="1">
      <c r="A786" s="207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</row>
    <row r="787" ht="15.75" customHeight="1">
      <c r="A787" s="207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</row>
    <row r="788" ht="15.75" customHeight="1">
      <c r="A788" s="207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</row>
    <row r="789" ht="15.75" customHeight="1">
      <c r="A789" s="207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</row>
    <row r="790" ht="15.75" customHeight="1">
      <c r="A790" s="207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</row>
    <row r="791" ht="15.75" customHeight="1">
      <c r="A791" s="207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</row>
    <row r="792" ht="15.75" customHeight="1">
      <c r="A792" s="207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</row>
    <row r="793" ht="15.75" customHeight="1">
      <c r="A793" s="207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</row>
    <row r="794" ht="15.75" customHeight="1">
      <c r="A794" s="207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</row>
    <row r="795" ht="15.75" customHeight="1">
      <c r="A795" s="207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</row>
    <row r="796" ht="15.75" customHeight="1">
      <c r="A796" s="207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</row>
    <row r="797" ht="15.75" customHeight="1">
      <c r="A797" s="207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</row>
    <row r="798" ht="15.75" customHeight="1">
      <c r="A798" s="207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</row>
    <row r="799" ht="15.75" customHeight="1">
      <c r="A799" s="207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</row>
    <row r="800" ht="15.75" customHeight="1">
      <c r="A800" s="207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</row>
    <row r="801" ht="15.75" customHeight="1">
      <c r="A801" s="207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</row>
    <row r="802" ht="15.75" customHeight="1">
      <c r="A802" s="207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</row>
    <row r="803" ht="15.75" customHeight="1">
      <c r="A803" s="207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</row>
    <row r="804" ht="15.75" customHeight="1">
      <c r="A804" s="207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</row>
    <row r="805" ht="15.75" customHeight="1">
      <c r="A805" s="207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</row>
    <row r="806" ht="15.75" customHeight="1">
      <c r="A806" s="207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</row>
    <row r="807" ht="15.75" customHeight="1">
      <c r="A807" s="207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</row>
    <row r="808" ht="15.75" customHeight="1">
      <c r="A808" s="207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</row>
    <row r="809" ht="15.75" customHeight="1">
      <c r="A809" s="207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</row>
    <row r="810" ht="15.75" customHeight="1">
      <c r="A810" s="207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</row>
    <row r="811" ht="15.75" customHeight="1">
      <c r="A811" s="207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</row>
    <row r="812" ht="15.75" customHeight="1">
      <c r="A812" s="207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</row>
    <row r="813" ht="15.75" customHeight="1">
      <c r="A813" s="207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</row>
    <row r="814" ht="15.75" customHeight="1">
      <c r="A814" s="207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</row>
    <row r="815" ht="15.75" customHeight="1">
      <c r="A815" s="207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</row>
    <row r="816" ht="15.75" customHeight="1">
      <c r="A816" s="207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</row>
    <row r="817" ht="15.75" customHeight="1">
      <c r="A817" s="207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</row>
    <row r="818" ht="15.75" customHeight="1">
      <c r="A818" s="207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</row>
    <row r="819" ht="15.75" customHeight="1">
      <c r="A819" s="207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</row>
    <row r="820" ht="15.75" customHeight="1">
      <c r="A820" s="207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</row>
    <row r="821" ht="15.75" customHeight="1">
      <c r="A821" s="207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</row>
    <row r="822" ht="15.75" customHeight="1">
      <c r="A822" s="207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</row>
    <row r="823" ht="15.75" customHeight="1">
      <c r="A823" s="207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</row>
    <row r="824" ht="15.75" customHeight="1">
      <c r="A824" s="207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</row>
    <row r="825" ht="15.75" customHeight="1">
      <c r="A825" s="207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</row>
    <row r="826" ht="15.75" customHeight="1">
      <c r="A826" s="207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</row>
    <row r="827" ht="15.75" customHeight="1">
      <c r="A827" s="207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</row>
    <row r="828" ht="15.75" customHeight="1">
      <c r="A828" s="207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</row>
    <row r="829" ht="15.75" customHeight="1">
      <c r="A829" s="207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</row>
    <row r="830" ht="15.75" customHeight="1">
      <c r="A830" s="207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</row>
    <row r="831" ht="15.75" customHeight="1">
      <c r="A831" s="207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</row>
    <row r="832" ht="15.75" customHeight="1">
      <c r="A832" s="207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</row>
    <row r="833" ht="15.75" customHeight="1">
      <c r="A833" s="207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</row>
    <row r="834" ht="15.75" customHeight="1">
      <c r="A834" s="207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</row>
    <row r="835" ht="15.75" customHeight="1">
      <c r="A835" s="207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</row>
    <row r="836" ht="15.75" customHeight="1">
      <c r="A836" s="207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</row>
    <row r="837" ht="15.75" customHeight="1">
      <c r="A837" s="207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</row>
    <row r="838" ht="15.75" customHeight="1">
      <c r="A838" s="207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</row>
    <row r="839" ht="15.75" customHeight="1">
      <c r="A839" s="207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</row>
    <row r="840" ht="15.75" customHeight="1">
      <c r="A840" s="207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</row>
    <row r="841" ht="15.75" customHeight="1">
      <c r="A841" s="207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</row>
    <row r="842" ht="15.75" customHeight="1">
      <c r="A842" s="207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</row>
    <row r="843" ht="15.75" customHeight="1">
      <c r="A843" s="207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</row>
    <row r="844" ht="15.75" customHeight="1">
      <c r="A844" s="207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</row>
    <row r="845" ht="15.75" customHeight="1">
      <c r="A845" s="207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</row>
    <row r="846" ht="15.75" customHeight="1">
      <c r="A846" s="207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</row>
    <row r="847" ht="15.75" customHeight="1">
      <c r="A847" s="207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</row>
    <row r="848" ht="15.75" customHeight="1">
      <c r="A848" s="207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</row>
    <row r="849" ht="15.75" customHeight="1">
      <c r="A849" s="207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</row>
    <row r="850" ht="15.75" customHeight="1">
      <c r="A850" s="207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</row>
    <row r="851" ht="15.75" customHeight="1">
      <c r="A851" s="207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</row>
    <row r="852" ht="15.75" customHeight="1">
      <c r="A852" s="207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</row>
    <row r="853" ht="15.75" customHeight="1">
      <c r="A853" s="207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</row>
    <row r="854" ht="15.75" customHeight="1">
      <c r="A854" s="207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</row>
    <row r="855" ht="15.75" customHeight="1">
      <c r="A855" s="207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</row>
    <row r="856" ht="15.75" customHeight="1">
      <c r="A856" s="207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</row>
    <row r="857" ht="15.75" customHeight="1">
      <c r="A857" s="207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</row>
    <row r="858" ht="15.75" customHeight="1">
      <c r="A858" s="207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</row>
    <row r="859" ht="15.75" customHeight="1">
      <c r="A859" s="207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</row>
    <row r="860" ht="15.75" customHeight="1">
      <c r="A860" s="207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</row>
    <row r="861" ht="15.75" customHeight="1">
      <c r="A861" s="207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</row>
    <row r="862" ht="15.75" customHeight="1">
      <c r="A862" s="207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</row>
    <row r="863" ht="15.75" customHeight="1">
      <c r="A863" s="207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</row>
    <row r="864" ht="15.75" customHeight="1">
      <c r="A864" s="207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</row>
    <row r="865" ht="15.75" customHeight="1">
      <c r="A865" s="207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</row>
    <row r="866" ht="15.75" customHeight="1">
      <c r="A866" s="207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</row>
    <row r="867" ht="15.75" customHeight="1">
      <c r="A867" s="207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</row>
    <row r="868" ht="15.75" customHeight="1">
      <c r="A868" s="207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</row>
    <row r="869" ht="15.75" customHeight="1">
      <c r="A869" s="207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</row>
    <row r="870" ht="15.75" customHeight="1">
      <c r="A870" s="207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</row>
    <row r="871" ht="15.75" customHeight="1">
      <c r="A871" s="207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</row>
    <row r="872" ht="15.75" customHeight="1">
      <c r="A872" s="207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</row>
    <row r="873" ht="15.75" customHeight="1">
      <c r="A873" s="207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</row>
    <row r="874" ht="15.75" customHeight="1">
      <c r="A874" s="207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</row>
    <row r="875" ht="15.75" customHeight="1">
      <c r="A875" s="207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</row>
    <row r="876" ht="15.75" customHeight="1">
      <c r="A876" s="207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</row>
    <row r="877" ht="15.75" customHeight="1">
      <c r="A877" s="207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</row>
    <row r="878" ht="15.75" customHeight="1">
      <c r="A878" s="207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</row>
    <row r="879" ht="15.75" customHeight="1">
      <c r="A879" s="207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</row>
    <row r="880" ht="15.75" customHeight="1">
      <c r="A880" s="207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</row>
    <row r="881" ht="15.75" customHeight="1">
      <c r="A881" s="207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</row>
    <row r="882" ht="15.75" customHeight="1">
      <c r="A882" s="207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</row>
    <row r="883" ht="15.75" customHeight="1">
      <c r="A883" s="207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</row>
    <row r="884" ht="15.75" customHeight="1">
      <c r="A884" s="207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</row>
    <row r="885" ht="15.75" customHeight="1">
      <c r="A885" s="207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</row>
    <row r="886" ht="15.75" customHeight="1">
      <c r="A886" s="207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</row>
    <row r="887" ht="15.75" customHeight="1">
      <c r="A887" s="207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</row>
    <row r="888" ht="15.75" customHeight="1">
      <c r="A888" s="207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</row>
    <row r="889" ht="15.75" customHeight="1">
      <c r="A889" s="207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</row>
    <row r="890" ht="15.75" customHeight="1">
      <c r="A890" s="207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</row>
    <row r="891" ht="15.75" customHeight="1">
      <c r="A891" s="207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</row>
    <row r="892" ht="15.75" customHeight="1">
      <c r="A892" s="207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</row>
    <row r="893" ht="15.75" customHeight="1">
      <c r="A893" s="207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</row>
    <row r="894" ht="15.75" customHeight="1">
      <c r="A894" s="207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</row>
    <row r="895" ht="15.75" customHeight="1">
      <c r="A895" s="207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</row>
    <row r="896" ht="15.75" customHeight="1">
      <c r="A896" s="207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</row>
    <row r="897" ht="15.75" customHeight="1">
      <c r="A897" s="207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</row>
    <row r="898" ht="15.75" customHeight="1">
      <c r="A898" s="207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</row>
    <row r="899" ht="15.75" customHeight="1">
      <c r="A899" s="207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</row>
    <row r="900" ht="15.75" customHeight="1">
      <c r="A900" s="207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</row>
    <row r="901" ht="15.75" customHeight="1">
      <c r="A901" s="207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</row>
    <row r="902" ht="15.75" customHeight="1">
      <c r="A902" s="207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</row>
    <row r="903" ht="15.75" customHeight="1">
      <c r="A903" s="207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</row>
    <row r="904" ht="15.75" customHeight="1">
      <c r="A904" s="207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</row>
    <row r="905" ht="15.75" customHeight="1">
      <c r="A905" s="207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</row>
    <row r="906" ht="15.75" customHeight="1">
      <c r="A906" s="207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</row>
    <row r="907" ht="15.75" customHeight="1">
      <c r="A907" s="207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</row>
    <row r="908" ht="15.75" customHeight="1">
      <c r="A908" s="207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</row>
    <row r="909" ht="15.75" customHeight="1">
      <c r="A909" s="207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</row>
    <row r="910" ht="15.75" customHeight="1">
      <c r="A910" s="207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</row>
    <row r="911" ht="15.75" customHeight="1">
      <c r="A911" s="207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</row>
    <row r="912" ht="15.75" customHeight="1">
      <c r="A912" s="207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</row>
    <row r="913" ht="15.75" customHeight="1">
      <c r="A913" s="207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</row>
    <row r="914" ht="15.75" customHeight="1">
      <c r="A914" s="207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</row>
    <row r="915" ht="15.75" customHeight="1">
      <c r="A915" s="207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</row>
    <row r="916" ht="15.75" customHeight="1">
      <c r="A916" s="207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</row>
    <row r="917" ht="15.75" customHeight="1">
      <c r="A917" s="207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</row>
    <row r="918" ht="15.75" customHeight="1">
      <c r="A918" s="207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</row>
    <row r="919" ht="15.75" customHeight="1">
      <c r="A919" s="207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</row>
    <row r="920" ht="15.75" customHeight="1">
      <c r="A920" s="207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</row>
    <row r="921" ht="15.75" customHeight="1">
      <c r="A921" s="207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</row>
    <row r="922" ht="15.75" customHeight="1">
      <c r="A922" s="207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</row>
    <row r="923" ht="15.75" customHeight="1">
      <c r="A923" s="207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</row>
    <row r="924" ht="15.75" customHeight="1">
      <c r="A924" s="207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</row>
    <row r="925" ht="15.75" customHeight="1">
      <c r="A925" s="207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</row>
    <row r="926" ht="15.75" customHeight="1">
      <c r="A926" s="207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</row>
    <row r="927" ht="15.75" customHeight="1">
      <c r="A927" s="207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</row>
    <row r="928" ht="15.75" customHeight="1">
      <c r="A928" s="207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</row>
    <row r="929" ht="15.75" customHeight="1">
      <c r="A929" s="207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</row>
    <row r="930" ht="15.75" customHeight="1">
      <c r="A930" s="207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</row>
    <row r="931" ht="15.75" customHeight="1">
      <c r="A931" s="207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</row>
    <row r="932" ht="15.75" customHeight="1">
      <c r="A932" s="207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</row>
    <row r="933" ht="15.75" customHeight="1">
      <c r="A933" s="207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</row>
    <row r="934" ht="15.75" customHeight="1">
      <c r="A934" s="207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</row>
    <row r="935" ht="15.75" customHeight="1">
      <c r="A935" s="207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</row>
    <row r="936" ht="15.75" customHeight="1">
      <c r="A936" s="207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</row>
    <row r="937" ht="15.75" customHeight="1">
      <c r="A937" s="207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</row>
    <row r="938" ht="15.75" customHeight="1">
      <c r="A938" s="207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</row>
    <row r="939" ht="15.75" customHeight="1">
      <c r="A939" s="207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</row>
    <row r="940" ht="15.75" customHeight="1">
      <c r="A940" s="207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</row>
    <row r="941" ht="15.75" customHeight="1">
      <c r="A941" s="207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</row>
    <row r="942" ht="15.75" customHeight="1">
      <c r="A942" s="207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</row>
    <row r="943" ht="15.75" customHeight="1">
      <c r="A943" s="207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</row>
    <row r="944" ht="15.75" customHeight="1">
      <c r="A944" s="207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</row>
    <row r="945" ht="15.75" customHeight="1">
      <c r="A945" s="207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</row>
    <row r="946" ht="15.75" customHeight="1">
      <c r="A946" s="207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</row>
    <row r="947" ht="15.75" customHeight="1">
      <c r="A947" s="207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</row>
    <row r="948" ht="15.75" customHeight="1">
      <c r="A948" s="207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</row>
    <row r="949" ht="15.75" customHeight="1">
      <c r="A949" s="207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</row>
    <row r="950" ht="15.75" customHeight="1">
      <c r="A950" s="207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</row>
    <row r="951" ht="15.75" customHeight="1">
      <c r="A951" s="207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</row>
    <row r="952" ht="15.75" customHeight="1">
      <c r="A952" s="207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</row>
    <row r="953" ht="15.75" customHeight="1">
      <c r="A953" s="207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</row>
    <row r="954" ht="15.75" customHeight="1">
      <c r="A954" s="207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</row>
    <row r="955" ht="15.75" customHeight="1">
      <c r="A955" s="207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</row>
    <row r="956" ht="15.75" customHeight="1">
      <c r="A956" s="207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</row>
    <row r="957" ht="15.75" customHeight="1">
      <c r="A957" s="207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</row>
    <row r="958" ht="15.75" customHeight="1">
      <c r="A958" s="207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</row>
    <row r="959" ht="15.75" customHeight="1">
      <c r="A959" s="207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</row>
    <row r="960" ht="15.75" customHeight="1">
      <c r="A960" s="207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</row>
    <row r="961" ht="15.75" customHeight="1">
      <c r="A961" s="207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</row>
    <row r="962" ht="15.75" customHeight="1">
      <c r="A962" s="207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</row>
    <row r="963" ht="15.75" customHeight="1">
      <c r="A963" s="207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</row>
    <row r="964" ht="15.75" customHeight="1">
      <c r="A964" s="207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</row>
    <row r="965" ht="15.75" customHeight="1">
      <c r="A965" s="207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</row>
    <row r="966" ht="15.75" customHeight="1">
      <c r="A966" s="207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</row>
    <row r="967" ht="15.75" customHeight="1">
      <c r="A967" s="207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</row>
    <row r="968" ht="15.75" customHeight="1">
      <c r="A968" s="207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</row>
    <row r="969" ht="15.75" customHeight="1">
      <c r="A969" s="207"/>
      <c r="B969" s="207"/>
      <c r="C969" s="207"/>
      <c r="D969" s="207"/>
      <c r="E969" s="207"/>
      <c r="F969" s="207"/>
      <c r="G969" s="207"/>
      <c r="H969" s="207"/>
      <c r="I969" s="207"/>
      <c r="J969" s="207"/>
      <c r="K969" s="207"/>
      <c r="L969" s="207"/>
      <c r="M969" s="207"/>
      <c r="N969" s="207"/>
      <c r="O969" s="207"/>
      <c r="P969" s="207"/>
      <c r="Q969" s="207"/>
      <c r="R969" s="207"/>
      <c r="S969" s="207"/>
      <c r="T969" s="207"/>
      <c r="U969" s="207"/>
      <c r="V969" s="207"/>
      <c r="W969" s="207"/>
      <c r="X969" s="207"/>
      <c r="Y969" s="207"/>
      <c r="Z969" s="207"/>
    </row>
    <row r="970" ht="15.75" customHeight="1">
      <c r="A970" s="207"/>
      <c r="B970" s="207"/>
      <c r="C970" s="207"/>
      <c r="D970" s="207"/>
      <c r="E970" s="207"/>
      <c r="F970" s="207"/>
      <c r="G970" s="207"/>
      <c r="H970" s="207"/>
      <c r="I970" s="207"/>
      <c r="J970" s="207"/>
      <c r="K970" s="207"/>
      <c r="L970" s="207"/>
      <c r="M970" s="207"/>
      <c r="N970" s="207"/>
      <c r="O970" s="207"/>
      <c r="P970" s="207"/>
      <c r="Q970" s="207"/>
      <c r="R970" s="207"/>
      <c r="S970" s="207"/>
      <c r="T970" s="207"/>
      <c r="U970" s="207"/>
      <c r="V970" s="207"/>
      <c r="W970" s="207"/>
      <c r="X970" s="207"/>
      <c r="Y970" s="207"/>
      <c r="Z970" s="207"/>
    </row>
    <row r="971" ht="15.75" customHeight="1">
      <c r="A971" s="207"/>
      <c r="B971" s="207"/>
      <c r="C971" s="207"/>
      <c r="D971" s="207"/>
      <c r="E971" s="207"/>
      <c r="F971" s="207"/>
      <c r="G971" s="207"/>
      <c r="H971" s="207"/>
      <c r="I971" s="207"/>
      <c r="J971" s="207"/>
      <c r="K971" s="207"/>
      <c r="L971" s="207"/>
      <c r="M971" s="207"/>
      <c r="N971" s="207"/>
      <c r="O971" s="207"/>
      <c r="P971" s="207"/>
      <c r="Q971" s="207"/>
      <c r="R971" s="207"/>
      <c r="S971" s="207"/>
      <c r="T971" s="207"/>
      <c r="U971" s="207"/>
      <c r="V971" s="207"/>
      <c r="W971" s="207"/>
      <c r="X971" s="207"/>
      <c r="Y971" s="207"/>
      <c r="Z971" s="207"/>
    </row>
    <row r="972" ht="15.75" customHeight="1">
      <c r="A972" s="207"/>
      <c r="B972" s="207"/>
      <c r="C972" s="207"/>
      <c r="D972" s="207"/>
      <c r="E972" s="207"/>
      <c r="F972" s="207"/>
      <c r="G972" s="207"/>
      <c r="H972" s="207"/>
      <c r="I972" s="207"/>
      <c r="J972" s="207"/>
      <c r="K972" s="207"/>
      <c r="L972" s="207"/>
      <c r="M972" s="207"/>
      <c r="N972" s="207"/>
      <c r="O972" s="207"/>
      <c r="P972" s="207"/>
      <c r="Q972" s="207"/>
      <c r="R972" s="207"/>
      <c r="S972" s="207"/>
      <c r="T972" s="207"/>
      <c r="U972" s="207"/>
      <c r="V972" s="207"/>
      <c r="W972" s="207"/>
      <c r="X972" s="207"/>
      <c r="Y972" s="207"/>
      <c r="Z972" s="207"/>
    </row>
    <row r="973" ht="15.75" customHeight="1">
      <c r="A973" s="207"/>
      <c r="B973" s="207"/>
      <c r="C973" s="207"/>
      <c r="D973" s="207"/>
      <c r="E973" s="207"/>
      <c r="F973" s="207"/>
      <c r="G973" s="207"/>
      <c r="H973" s="207"/>
      <c r="I973" s="207"/>
      <c r="J973" s="207"/>
      <c r="K973" s="207"/>
      <c r="L973" s="207"/>
      <c r="M973" s="207"/>
      <c r="N973" s="207"/>
      <c r="O973" s="207"/>
      <c r="P973" s="207"/>
      <c r="Q973" s="207"/>
      <c r="R973" s="207"/>
      <c r="S973" s="207"/>
      <c r="T973" s="207"/>
      <c r="U973" s="207"/>
      <c r="V973" s="207"/>
      <c r="W973" s="207"/>
      <c r="X973" s="207"/>
      <c r="Y973" s="207"/>
      <c r="Z973" s="207"/>
    </row>
    <row r="974" ht="15.75" customHeight="1">
      <c r="A974" s="207"/>
      <c r="B974" s="207"/>
      <c r="C974" s="207"/>
      <c r="D974" s="207"/>
      <c r="E974" s="207"/>
      <c r="F974" s="207"/>
      <c r="G974" s="207"/>
      <c r="H974" s="207"/>
      <c r="I974" s="207"/>
      <c r="J974" s="207"/>
      <c r="K974" s="207"/>
      <c r="L974" s="207"/>
      <c r="M974" s="207"/>
      <c r="N974" s="207"/>
      <c r="O974" s="207"/>
      <c r="P974" s="207"/>
      <c r="Q974" s="207"/>
      <c r="R974" s="207"/>
      <c r="S974" s="207"/>
      <c r="T974" s="207"/>
      <c r="U974" s="207"/>
      <c r="V974" s="207"/>
      <c r="W974" s="207"/>
      <c r="X974" s="207"/>
      <c r="Y974" s="207"/>
      <c r="Z974" s="207"/>
    </row>
    <row r="975" ht="15.75" customHeight="1">
      <c r="A975" s="207"/>
      <c r="B975" s="207"/>
      <c r="C975" s="207"/>
      <c r="D975" s="207"/>
      <c r="E975" s="207"/>
      <c r="F975" s="207"/>
      <c r="G975" s="207"/>
      <c r="H975" s="207"/>
      <c r="I975" s="207"/>
      <c r="J975" s="207"/>
      <c r="K975" s="207"/>
      <c r="L975" s="207"/>
      <c r="M975" s="207"/>
      <c r="N975" s="207"/>
      <c r="O975" s="207"/>
      <c r="P975" s="207"/>
      <c r="Q975" s="207"/>
      <c r="R975" s="207"/>
      <c r="S975" s="207"/>
      <c r="T975" s="207"/>
      <c r="U975" s="207"/>
      <c r="V975" s="207"/>
      <c r="W975" s="207"/>
      <c r="X975" s="207"/>
      <c r="Y975" s="207"/>
      <c r="Z975" s="207"/>
    </row>
    <row r="976" ht="15.75" customHeight="1">
      <c r="A976" s="207"/>
      <c r="B976" s="207"/>
      <c r="C976" s="207"/>
      <c r="D976" s="207"/>
      <c r="E976" s="207"/>
      <c r="F976" s="207"/>
      <c r="G976" s="207"/>
      <c r="H976" s="207"/>
      <c r="I976" s="207"/>
      <c r="J976" s="207"/>
      <c r="K976" s="207"/>
      <c r="L976" s="207"/>
      <c r="M976" s="207"/>
      <c r="N976" s="207"/>
      <c r="O976" s="207"/>
      <c r="P976" s="207"/>
      <c r="Q976" s="207"/>
      <c r="R976" s="207"/>
      <c r="S976" s="207"/>
      <c r="T976" s="207"/>
      <c r="U976" s="207"/>
      <c r="V976" s="207"/>
      <c r="W976" s="207"/>
      <c r="X976" s="207"/>
      <c r="Y976" s="207"/>
      <c r="Z976" s="207"/>
    </row>
    <row r="977" ht="15.75" customHeight="1">
      <c r="A977" s="207"/>
      <c r="B977" s="207"/>
      <c r="C977" s="207"/>
      <c r="D977" s="207"/>
      <c r="E977" s="207"/>
      <c r="F977" s="207"/>
      <c r="G977" s="207"/>
      <c r="H977" s="207"/>
      <c r="I977" s="207"/>
      <c r="J977" s="207"/>
      <c r="K977" s="207"/>
      <c r="L977" s="207"/>
      <c r="M977" s="207"/>
      <c r="N977" s="207"/>
      <c r="O977" s="207"/>
      <c r="P977" s="207"/>
      <c r="Q977" s="207"/>
      <c r="R977" s="207"/>
      <c r="S977" s="207"/>
      <c r="T977" s="207"/>
      <c r="U977" s="207"/>
      <c r="V977" s="207"/>
      <c r="W977" s="207"/>
      <c r="X977" s="207"/>
      <c r="Y977" s="207"/>
      <c r="Z977" s="207"/>
    </row>
    <row r="978" ht="15.75" customHeight="1">
      <c r="A978" s="207"/>
      <c r="B978" s="207"/>
      <c r="C978" s="207"/>
      <c r="D978" s="207"/>
      <c r="E978" s="207"/>
      <c r="F978" s="207"/>
      <c r="G978" s="207"/>
      <c r="H978" s="207"/>
      <c r="I978" s="207"/>
      <c r="J978" s="207"/>
      <c r="K978" s="207"/>
      <c r="L978" s="207"/>
      <c r="M978" s="207"/>
      <c r="N978" s="207"/>
      <c r="O978" s="207"/>
      <c r="P978" s="207"/>
      <c r="Q978" s="207"/>
      <c r="R978" s="207"/>
      <c r="S978" s="207"/>
      <c r="T978" s="207"/>
      <c r="U978" s="207"/>
      <c r="V978" s="207"/>
      <c r="W978" s="207"/>
      <c r="X978" s="207"/>
      <c r="Y978" s="207"/>
      <c r="Z978" s="207"/>
    </row>
    <row r="979" ht="15.75" customHeight="1">
      <c r="A979" s="207"/>
      <c r="B979" s="207"/>
      <c r="C979" s="207"/>
      <c r="D979" s="207"/>
      <c r="E979" s="207"/>
      <c r="F979" s="207"/>
      <c r="G979" s="207"/>
      <c r="H979" s="207"/>
      <c r="I979" s="207"/>
      <c r="J979" s="207"/>
      <c r="K979" s="207"/>
      <c r="L979" s="207"/>
      <c r="M979" s="207"/>
      <c r="N979" s="207"/>
      <c r="O979" s="207"/>
      <c r="P979" s="207"/>
      <c r="Q979" s="207"/>
      <c r="R979" s="207"/>
      <c r="S979" s="207"/>
      <c r="T979" s="207"/>
      <c r="U979" s="207"/>
      <c r="V979" s="207"/>
      <c r="W979" s="207"/>
      <c r="X979" s="207"/>
      <c r="Y979" s="207"/>
      <c r="Z979" s="207"/>
    </row>
    <row r="980" ht="15.75" customHeight="1">
      <c r="A980" s="207"/>
      <c r="B980" s="207"/>
      <c r="C980" s="207"/>
      <c r="D980" s="207"/>
      <c r="E980" s="207"/>
      <c r="F980" s="207"/>
      <c r="G980" s="207"/>
      <c r="H980" s="207"/>
      <c r="I980" s="207"/>
      <c r="J980" s="207"/>
      <c r="K980" s="207"/>
      <c r="L980" s="207"/>
      <c r="M980" s="207"/>
      <c r="N980" s="207"/>
      <c r="O980" s="207"/>
      <c r="P980" s="207"/>
      <c r="Q980" s="207"/>
      <c r="R980" s="207"/>
      <c r="S980" s="207"/>
      <c r="T980" s="207"/>
      <c r="U980" s="207"/>
      <c r="V980" s="207"/>
      <c r="W980" s="207"/>
      <c r="X980" s="207"/>
      <c r="Y980" s="207"/>
      <c r="Z980" s="207"/>
    </row>
    <row r="981" ht="15.75" customHeight="1">
      <c r="A981" s="207"/>
      <c r="B981" s="207"/>
      <c r="C981" s="207"/>
      <c r="D981" s="207"/>
      <c r="E981" s="207"/>
      <c r="F981" s="207"/>
      <c r="G981" s="207"/>
      <c r="H981" s="207"/>
      <c r="I981" s="207"/>
      <c r="J981" s="207"/>
      <c r="K981" s="207"/>
      <c r="L981" s="207"/>
      <c r="M981" s="207"/>
      <c r="N981" s="207"/>
      <c r="O981" s="207"/>
      <c r="P981" s="207"/>
      <c r="Q981" s="207"/>
      <c r="R981" s="207"/>
      <c r="S981" s="207"/>
      <c r="T981" s="207"/>
      <c r="U981" s="207"/>
      <c r="V981" s="207"/>
      <c r="W981" s="207"/>
      <c r="X981" s="207"/>
      <c r="Y981" s="207"/>
      <c r="Z981" s="207"/>
    </row>
    <row r="982" ht="15.75" customHeight="1">
      <c r="A982" s="207"/>
      <c r="B982" s="207"/>
      <c r="C982" s="207"/>
      <c r="D982" s="207"/>
      <c r="E982" s="207"/>
      <c r="F982" s="207"/>
      <c r="G982" s="207"/>
      <c r="H982" s="207"/>
      <c r="I982" s="207"/>
      <c r="J982" s="207"/>
      <c r="K982" s="207"/>
      <c r="L982" s="207"/>
      <c r="M982" s="207"/>
      <c r="N982" s="207"/>
      <c r="O982" s="207"/>
      <c r="P982" s="207"/>
      <c r="Q982" s="207"/>
      <c r="R982" s="207"/>
      <c r="S982" s="207"/>
      <c r="T982" s="207"/>
      <c r="U982" s="207"/>
      <c r="V982" s="207"/>
      <c r="W982" s="207"/>
      <c r="X982" s="207"/>
      <c r="Y982" s="207"/>
      <c r="Z982" s="207"/>
    </row>
    <row r="983" ht="15.75" customHeight="1">
      <c r="A983" s="207"/>
      <c r="B983" s="207"/>
      <c r="C983" s="207"/>
      <c r="D983" s="207"/>
      <c r="E983" s="207"/>
      <c r="F983" s="207"/>
      <c r="G983" s="207"/>
      <c r="H983" s="207"/>
      <c r="I983" s="207"/>
      <c r="J983" s="207"/>
      <c r="K983" s="207"/>
      <c r="L983" s="207"/>
      <c r="M983" s="207"/>
      <c r="N983" s="207"/>
      <c r="O983" s="207"/>
      <c r="P983" s="207"/>
      <c r="Q983" s="207"/>
      <c r="R983" s="207"/>
      <c r="S983" s="207"/>
      <c r="T983" s="207"/>
      <c r="U983" s="207"/>
      <c r="V983" s="207"/>
      <c r="W983" s="207"/>
      <c r="X983" s="207"/>
      <c r="Y983" s="207"/>
      <c r="Z983" s="207"/>
    </row>
    <row r="984" ht="15.75" customHeight="1">
      <c r="A984" s="207"/>
      <c r="B984" s="207"/>
      <c r="C984" s="207"/>
      <c r="D984" s="207"/>
      <c r="E984" s="207"/>
      <c r="F984" s="207"/>
      <c r="G984" s="207"/>
      <c r="H984" s="207"/>
      <c r="I984" s="207"/>
      <c r="J984" s="207"/>
      <c r="K984" s="207"/>
      <c r="L984" s="207"/>
      <c r="M984" s="207"/>
      <c r="N984" s="207"/>
      <c r="O984" s="207"/>
      <c r="P984" s="207"/>
      <c r="Q984" s="207"/>
      <c r="R984" s="207"/>
      <c r="S984" s="207"/>
      <c r="T984" s="207"/>
      <c r="U984" s="207"/>
      <c r="V984" s="207"/>
      <c r="W984" s="207"/>
      <c r="X984" s="207"/>
      <c r="Y984" s="207"/>
      <c r="Z984" s="207"/>
    </row>
    <row r="985" ht="15.75" customHeight="1">
      <c r="A985" s="207"/>
      <c r="B985" s="207"/>
      <c r="C985" s="207"/>
      <c r="D985" s="207"/>
      <c r="E985" s="207"/>
      <c r="F985" s="207"/>
      <c r="G985" s="207"/>
      <c r="H985" s="207"/>
      <c r="I985" s="207"/>
      <c r="J985" s="207"/>
      <c r="K985" s="207"/>
      <c r="L985" s="207"/>
      <c r="M985" s="207"/>
      <c r="N985" s="207"/>
      <c r="O985" s="207"/>
      <c r="P985" s="207"/>
      <c r="Q985" s="207"/>
      <c r="R985" s="207"/>
      <c r="S985" s="207"/>
      <c r="T985" s="207"/>
      <c r="U985" s="207"/>
      <c r="V985" s="207"/>
      <c r="W985" s="207"/>
      <c r="X985" s="207"/>
      <c r="Y985" s="207"/>
      <c r="Z985" s="207"/>
    </row>
    <row r="986" ht="15.75" customHeight="1">
      <c r="A986" s="207"/>
      <c r="B986" s="207"/>
      <c r="C986" s="207"/>
      <c r="D986" s="207"/>
      <c r="E986" s="207"/>
      <c r="F986" s="207"/>
      <c r="G986" s="207"/>
      <c r="H986" s="207"/>
      <c r="I986" s="207"/>
      <c r="J986" s="207"/>
      <c r="K986" s="207"/>
      <c r="L986" s="207"/>
      <c r="M986" s="207"/>
      <c r="N986" s="207"/>
      <c r="O986" s="207"/>
      <c r="P986" s="207"/>
      <c r="Q986" s="207"/>
      <c r="R986" s="207"/>
      <c r="S986" s="207"/>
      <c r="T986" s="207"/>
      <c r="U986" s="207"/>
      <c r="V986" s="207"/>
      <c r="W986" s="207"/>
      <c r="X986" s="207"/>
      <c r="Y986" s="207"/>
      <c r="Z986" s="207"/>
    </row>
    <row r="987" ht="15.75" customHeight="1">
      <c r="A987" s="207"/>
      <c r="B987" s="207"/>
      <c r="C987" s="207"/>
      <c r="D987" s="207"/>
      <c r="E987" s="207"/>
      <c r="F987" s="207"/>
      <c r="G987" s="207"/>
      <c r="H987" s="207"/>
      <c r="I987" s="207"/>
      <c r="J987" s="207"/>
      <c r="K987" s="207"/>
      <c r="L987" s="207"/>
      <c r="M987" s="207"/>
      <c r="N987" s="207"/>
      <c r="O987" s="207"/>
      <c r="P987" s="207"/>
      <c r="Q987" s="207"/>
      <c r="R987" s="207"/>
      <c r="S987" s="207"/>
      <c r="T987" s="207"/>
      <c r="U987" s="207"/>
      <c r="V987" s="207"/>
      <c r="W987" s="207"/>
      <c r="X987" s="207"/>
      <c r="Y987" s="207"/>
      <c r="Z987" s="207"/>
    </row>
    <row r="988" ht="15.75" customHeight="1">
      <c r="A988" s="207"/>
      <c r="B988" s="207"/>
      <c r="C988" s="207"/>
      <c r="D988" s="207"/>
      <c r="E988" s="207"/>
      <c r="F988" s="207"/>
      <c r="G988" s="207"/>
      <c r="H988" s="207"/>
      <c r="I988" s="207"/>
      <c r="J988" s="207"/>
      <c r="K988" s="207"/>
      <c r="L988" s="207"/>
      <c r="M988" s="207"/>
      <c r="N988" s="207"/>
      <c r="O988" s="207"/>
      <c r="P988" s="207"/>
      <c r="Q988" s="207"/>
      <c r="R988" s="207"/>
      <c r="S988" s="207"/>
      <c r="T988" s="207"/>
      <c r="U988" s="207"/>
      <c r="V988" s="207"/>
      <c r="W988" s="207"/>
      <c r="X988" s="207"/>
      <c r="Y988" s="207"/>
      <c r="Z988" s="207"/>
    </row>
    <row r="989" ht="15.75" customHeight="1">
      <c r="A989" s="207"/>
      <c r="B989" s="207"/>
      <c r="C989" s="207"/>
      <c r="D989" s="207"/>
      <c r="E989" s="207"/>
      <c r="F989" s="207"/>
      <c r="G989" s="207"/>
      <c r="H989" s="207"/>
      <c r="I989" s="207"/>
      <c r="J989" s="207"/>
      <c r="K989" s="207"/>
      <c r="L989" s="207"/>
      <c r="M989" s="207"/>
      <c r="N989" s="207"/>
      <c r="O989" s="207"/>
      <c r="P989" s="207"/>
      <c r="Q989" s="207"/>
      <c r="R989" s="207"/>
      <c r="S989" s="207"/>
      <c r="T989" s="207"/>
      <c r="U989" s="207"/>
      <c r="V989" s="207"/>
      <c r="W989" s="207"/>
      <c r="X989" s="207"/>
      <c r="Y989" s="207"/>
      <c r="Z989" s="207"/>
    </row>
    <row r="990" ht="15.75" customHeight="1">
      <c r="A990" s="207"/>
      <c r="B990" s="207"/>
      <c r="C990" s="207"/>
      <c r="D990" s="207"/>
      <c r="E990" s="207"/>
      <c r="F990" s="207"/>
      <c r="G990" s="207"/>
      <c r="H990" s="207"/>
      <c r="I990" s="207"/>
      <c r="J990" s="207"/>
      <c r="K990" s="207"/>
      <c r="L990" s="207"/>
      <c r="M990" s="207"/>
      <c r="N990" s="207"/>
      <c r="O990" s="207"/>
      <c r="P990" s="207"/>
      <c r="Q990" s="207"/>
      <c r="R990" s="207"/>
      <c r="S990" s="207"/>
      <c r="T990" s="207"/>
      <c r="U990" s="207"/>
      <c r="V990" s="207"/>
      <c r="W990" s="207"/>
      <c r="X990" s="207"/>
      <c r="Y990" s="207"/>
      <c r="Z990" s="207"/>
    </row>
    <row r="991" ht="15.75" customHeight="1">
      <c r="A991" s="207"/>
      <c r="B991" s="207"/>
      <c r="C991" s="207"/>
      <c r="D991" s="207"/>
      <c r="E991" s="207"/>
      <c r="F991" s="207"/>
      <c r="G991" s="207"/>
      <c r="H991" s="207"/>
      <c r="I991" s="207"/>
      <c r="J991" s="207"/>
      <c r="K991" s="207"/>
      <c r="L991" s="207"/>
      <c r="M991" s="207"/>
      <c r="N991" s="207"/>
      <c r="O991" s="207"/>
      <c r="P991" s="207"/>
      <c r="Q991" s="207"/>
      <c r="R991" s="207"/>
      <c r="S991" s="207"/>
      <c r="T991" s="207"/>
      <c r="U991" s="207"/>
      <c r="V991" s="207"/>
      <c r="W991" s="207"/>
      <c r="X991" s="207"/>
      <c r="Y991" s="207"/>
      <c r="Z991" s="207"/>
    </row>
    <row r="992" ht="15.75" customHeight="1">
      <c r="A992" s="207"/>
      <c r="B992" s="207"/>
      <c r="C992" s="207"/>
      <c r="D992" s="207"/>
      <c r="E992" s="207"/>
      <c r="F992" s="207"/>
      <c r="G992" s="207"/>
      <c r="H992" s="207"/>
      <c r="I992" s="207"/>
      <c r="J992" s="207"/>
      <c r="K992" s="207"/>
      <c r="L992" s="207"/>
      <c r="M992" s="207"/>
      <c r="N992" s="207"/>
      <c r="O992" s="207"/>
      <c r="P992" s="207"/>
      <c r="Q992" s="207"/>
      <c r="R992" s="207"/>
      <c r="S992" s="207"/>
      <c r="T992" s="207"/>
      <c r="U992" s="207"/>
      <c r="V992" s="207"/>
      <c r="W992" s="207"/>
      <c r="X992" s="207"/>
      <c r="Y992" s="207"/>
      <c r="Z992" s="207"/>
    </row>
    <row r="993" ht="15.75" customHeight="1">
      <c r="A993" s="207"/>
      <c r="B993" s="207"/>
      <c r="C993" s="207"/>
      <c r="D993" s="207"/>
      <c r="E993" s="207"/>
      <c r="F993" s="207"/>
      <c r="G993" s="207"/>
      <c r="H993" s="207"/>
      <c r="I993" s="207"/>
      <c r="J993" s="207"/>
      <c r="K993" s="207"/>
      <c r="L993" s="207"/>
      <c r="M993" s="207"/>
      <c r="N993" s="207"/>
      <c r="O993" s="207"/>
      <c r="P993" s="207"/>
      <c r="Q993" s="207"/>
      <c r="R993" s="207"/>
      <c r="S993" s="207"/>
      <c r="T993" s="207"/>
      <c r="U993" s="207"/>
      <c r="V993" s="207"/>
      <c r="W993" s="207"/>
      <c r="X993" s="207"/>
      <c r="Y993" s="207"/>
      <c r="Z993" s="207"/>
    </row>
    <row r="994" ht="15.75" customHeight="1">
      <c r="A994" s="207"/>
      <c r="B994" s="207"/>
      <c r="C994" s="207"/>
      <c r="D994" s="207"/>
      <c r="E994" s="207"/>
      <c r="F994" s="207"/>
      <c r="G994" s="207"/>
      <c r="H994" s="207"/>
      <c r="I994" s="207"/>
      <c r="J994" s="207"/>
      <c r="K994" s="207"/>
      <c r="L994" s="207"/>
      <c r="M994" s="207"/>
      <c r="N994" s="207"/>
      <c r="O994" s="207"/>
      <c r="P994" s="207"/>
      <c r="Q994" s="207"/>
      <c r="R994" s="207"/>
      <c r="S994" s="207"/>
      <c r="T994" s="207"/>
      <c r="U994" s="207"/>
      <c r="V994" s="207"/>
      <c r="W994" s="207"/>
      <c r="X994" s="207"/>
      <c r="Y994" s="207"/>
      <c r="Z994" s="207"/>
    </row>
    <row r="995" ht="15.75" customHeight="1">
      <c r="A995" s="207"/>
      <c r="B995" s="207"/>
      <c r="C995" s="207"/>
      <c r="D995" s="207"/>
      <c r="E995" s="207"/>
      <c r="F995" s="207"/>
      <c r="G995" s="207"/>
      <c r="H995" s="207"/>
      <c r="I995" s="207"/>
      <c r="J995" s="207"/>
      <c r="K995" s="207"/>
      <c r="L995" s="207"/>
      <c r="M995" s="207"/>
      <c r="N995" s="207"/>
      <c r="O995" s="207"/>
      <c r="P995" s="207"/>
      <c r="Q995" s="207"/>
      <c r="R995" s="207"/>
      <c r="S995" s="207"/>
      <c r="T995" s="207"/>
      <c r="U995" s="207"/>
      <c r="V995" s="207"/>
      <c r="W995" s="207"/>
      <c r="X995" s="207"/>
      <c r="Y995" s="207"/>
      <c r="Z995" s="207"/>
    </row>
    <row r="996" ht="15.75" customHeight="1">
      <c r="A996" s="207"/>
      <c r="B996" s="207"/>
      <c r="C996" s="207"/>
      <c r="D996" s="207"/>
      <c r="E996" s="207"/>
      <c r="F996" s="207"/>
      <c r="G996" s="207"/>
      <c r="H996" s="207"/>
      <c r="I996" s="207"/>
      <c r="J996" s="207"/>
      <c r="K996" s="207"/>
      <c r="L996" s="207"/>
      <c r="M996" s="207"/>
      <c r="N996" s="207"/>
      <c r="O996" s="207"/>
      <c r="P996" s="207"/>
      <c r="Q996" s="207"/>
      <c r="R996" s="207"/>
      <c r="S996" s="207"/>
      <c r="T996" s="207"/>
      <c r="U996" s="207"/>
      <c r="V996" s="207"/>
      <c r="W996" s="207"/>
      <c r="X996" s="207"/>
      <c r="Y996" s="207"/>
      <c r="Z996" s="207"/>
    </row>
    <row r="997" ht="15.75" customHeight="1">
      <c r="A997" s="207"/>
      <c r="B997" s="207"/>
      <c r="C997" s="207"/>
      <c r="D997" s="207"/>
      <c r="E997" s="207"/>
      <c r="F997" s="207"/>
      <c r="G997" s="207"/>
      <c r="H997" s="207"/>
      <c r="I997" s="207"/>
      <c r="J997" s="207"/>
      <c r="K997" s="207"/>
      <c r="L997" s="207"/>
      <c r="M997" s="207"/>
      <c r="N997" s="207"/>
      <c r="O997" s="207"/>
      <c r="P997" s="207"/>
      <c r="Q997" s="207"/>
      <c r="R997" s="207"/>
      <c r="S997" s="207"/>
      <c r="T997" s="207"/>
      <c r="U997" s="207"/>
      <c r="V997" s="207"/>
      <c r="W997" s="207"/>
      <c r="X997" s="207"/>
      <c r="Y997" s="207"/>
      <c r="Z997" s="207"/>
    </row>
    <row r="998" ht="15.75" customHeight="1">
      <c r="A998" s="207"/>
      <c r="B998" s="207"/>
      <c r="C998" s="207"/>
      <c r="D998" s="207"/>
      <c r="E998" s="207"/>
      <c r="F998" s="207"/>
      <c r="G998" s="207"/>
      <c r="H998" s="207"/>
      <c r="I998" s="207"/>
      <c r="J998" s="207"/>
      <c r="K998" s="207"/>
      <c r="L998" s="207"/>
      <c r="M998" s="207"/>
      <c r="N998" s="207"/>
      <c r="O998" s="207"/>
      <c r="P998" s="207"/>
      <c r="Q998" s="207"/>
      <c r="R998" s="207"/>
      <c r="S998" s="207"/>
      <c r="T998" s="207"/>
      <c r="U998" s="207"/>
      <c r="V998" s="207"/>
      <c r="W998" s="207"/>
      <c r="X998" s="207"/>
      <c r="Y998" s="207"/>
      <c r="Z998" s="207"/>
    </row>
    <row r="999" ht="15.75" customHeight="1">
      <c r="A999" s="207"/>
      <c r="B999" s="207"/>
      <c r="C999" s="207"/>
      <c r="D999" s="207"/>
      <c r="E999" s="207"/>
      <c r="F999" s="207"/>
      <c r="G999" s="207"/>
      <c r="H999" s="207"/>
      <c r="I999" s="207"/>
      <c r="J999" s="207"/>
      <c r="K999" s="207"/>
      <c r="L999" s="207"/>
      <c r="M999" s="207"/>
      <c r="N999" s="207"/>
      <c r="O999" s="207"/>
      <c r="P999" s="207"/>
      <c r="Q999" s="207"/>
      <c r="R999" s="207"/>
      <c r="S999" s="207"/>
      <c r="T999" s="207"/>
      <c r="U999" s="207"/>
      <c r="V999" s="207"/>
      <c r="W999" s="207"/>
      <c r="X999" s="207"/>
      <c r="Y999" s="207"/>
      <c r="Z999" s="207"/>
    </row>
    <row r="1000" ht="15.75" customHeight="1">
      <c r="A1000" s="207"/>
      <c r="B1000" s="207"/>
      <c r="C1000" s="207"/>
      <c r="D1000" s="207"/>
      <c r="E1000" s="207"/>
      <c r="F1000" s="207"/>
      <c r="G1000" s="207"/>
      <c r="H1000" s="207"/>
      <c r="I1000" s="207"/>
      <c r="J1000" s="207"/>
      <c r="K1000" s="207"/>
      <c r="L1000" s="207"/>
      <c r="M1000" s="207"/>
      <c r="N1000" s="207"/>
      <c r="O1000" s="207"/>
      <c r="P1000" s="207"/>
      <c r="Q1000" s="207"/>
      <c r="R1000" s="207"/>
      <c r="S1000" s="207"/>
      <c r="T1000" s="207"/>
      <c r="U1000" s="207"/>
      <c r="V1000" s="207"/>
      <c r="W1000" s="207"/>
      <c r="X1000" s="207"/>
      <c r="Y1000" s="207"/>
      <c r="Z1000" s="207"/>
    </row>
    <row r="1001" ht="15.75" customHeight="1">
      <c r="A1001" s="207"/>
      <c r="B1001" s="207"/>
      <c r="C1001" s="207"/>
      <c r="D1001" s="207"/>
      <c r="E1001" s="207"/>
      <c r="F1001" s="207"/>
      <c r="G1001" s="207"/>
      <c r="H1001" s="207"/>
      <c r="I1001" s="207"/>
      <c r="J1001" s="207"/>
      <c r="K1001" s="207"/>
      <c r="L1001" s="207"/>
      <c r="M1001" s="207"/>
      <c r="N1001" s="207"/>
      <c r="O1001" s="207"/>
      <c r="P1001" s="207"/>
      <c r="Q1001" s="207"/>
      <c r="R1001" s="207"/>
      <c r="S1001" s="207"/>
      <c r="T1001" s="207"/>
      <c r="U1001" s="207"/>
      <c r="V1001" s="207"/>
      <c r="W1001" s="207"/>
      <c r="X1001" s="207"/>
      <c r="Y1001" s="207"/>
      <c r="Z1001" s="207"/>
    </row>
    <row r="1002" ht="15.75" customHeight="1">
      <c r="A1002" s="207"/>
      <c r="B1002" s="207"/>
      <c r="C1002" s="207"/>
      <c r="D1002" s="207"/>
      <c r="E1002" s="207"/>
      <c r="F1002" s="207"/>
      <c r="G1002" s="207"/>
      <c r="H1002" s="207"/>
      <c r="I1002" s="207"/>
      <c r="J1002" s="207"/>
      <c r="K1002" s="207"/>
      <c r="L1002" s="207"/>
      <c r="M1002" s="207"/>
      <c r="N1002" s="207"/>
      <c r="O1002" s="207"/>
      <c r="P1002" s="207"/>
      <c r="Q1002" s="207"/>
      <c r="R1002" s="207"/>
      <c r="S1002" s="207"/>
      <c r="T1002" s="207"/>
      <c r="U1002" s="207"/>
      <c r="V1002" s="207"/>
      <c r="W1002" s="207"/>
      <c r="X1002" s="207"/>
      <c r="Y1002" s="207"/>
      <c r="Z1002" s="207"/>
    </row>
    <row r="1003" ht="15.75" customHeight="1">
      <c r="A1003" s="207"/>
      <c r="B1003" s="207"/>
      <c r="C1003" s="207"/>
      <c r="D1003" s="207"/>
      <c r="E1003" s="207"/>
      <c r="F1003" s="207"/>
      <c r="G1003" s="207"/>
      <c r="H1003" s="207"/>
      <c r="I1003" s="207"/>
      <c r="J1003" s="207"/>
      <c r="K1003" s="207"/>
      <c r="L1003" s="207"/>
      <c r="M1003" s="207"/>
      <c r="N1003" s="207"/>
      <c r="O1003" s="207"/>
      <c r="P1003" s="207"/>
      <c r="Q1003" s="207"/>
      <c r="R1003" s="207"/>
      <c r="S1003" s="207"/>
      <c r="T1003" s="207"/>
      <c r="U1003" s="207"/>
      <c r="V1003" s="207"/>
      <c r="W1003" s="207"/>
      <c r="X1003" s="207"/>
      <c r="Y1003" s="207"/>
      <c r="Z1003" s="207"/>
    </row>
    <row r="1004" ht="15.75" customHeight="1">
      <c r="A1004" s="207"/>
      <c r="B1004" s="207"/>
      <c r="C1004" s="207"/>
      <c r="D1004" s="207"/>
      <c r="E1004" s="207"/>
      <c r="F1004" s="207"/>
      <c r="G1004" s="207"/>
      <c r="H1004" s="207"/>
      <c r="I1004" s="207"/>
      <c r="J1004" s="207"/>
      <c r="K1004" s="207"/>
      <c r="L1004" s="207"/>
      <c r="M1004" s="207"/>
      <c r="N1004" s="207"/>
      <c r="O1004" s="207"/>
      <c r="P1004" s="207"/>
      <c r="Q1004" s="207"/>
      <c r="R1004" s="207"/>
      <c r="S1004" s="207"/>
      <c r="T1004" s="207"/>
      <c r="U1004" s="207"/>
      <c r="V1004" s="207"/>
      <c r="W1004" s="207"/>
      <c r="X1004" s="207"/>
      <c r="Y1004" s="207"/>
      <c r="Z1004" s="207"/>
    </row>
    <row r="1005" ht="15.75" customHeight="1">
      <c r="A1005" s="207"/>
      <c r="B1005" s="207"/>
      <c r="C1005" s="207"/>
      <c r="D1005" s="207"/>
      <c r="E1005" s="207"/>
      <c r="F1005" s="207"/>
      <c r="G1005" s="207"/>
      <c r="H1005" s="207"/>
      <c r="I1005" s="207"/>
      <c r="J1005" s="207"/>
      <c r="K1005" s="207"/>
      <c r="L1005" s="207"/>
      <c r="M1005" s="207"/>
      <c r="N1005" s="207"/>
      <c r="O1005" s="207"/>
      <c r="P1005" s="207"/>
      <c r="Q1005" s="207"/>
      <c r="R1005" s="207"/>
      <c r="S1005" s="207"/>
      <c r="T1005" s="207"/>
      <c r="U1005" s="207"/>
      <c r="V1005" s="207"/>
      <c r="W1005" s="207"/>
      <c r="X1005" s="207"/>
      <c r="Y1005" s="207"/>
      <c r="Z1005" s="207"/>
    </row>
    <row r="1006" ht="15.75" customHeight="1">
      <c r="A1006" s="207"/>
      <c r="B1006" s="207"/>
      <c r="C1006" s="207"/>
      <c r="D1006" s="207"/>
      <c r="E1006" s="207"/>
      <c r="F1006" s="207"/>
      <c r="G1006" s="207"/>
      <c r="H1006" s="207"/>
      <c r="I1006" s="207"/>
      <c r="J1006" s="207"/>
      <c r="K1006" s="207"/>
      <c r="L1006" s="207"/>
      <c r="M1006" s="207"/>
      <c r="N1006" s="207"/>
      <c r="O1006" s="207"/>
      <c r="P1006" s="207"/>
      <c r="Q1006" s="207"/>
      <c r="R1006" s="207"/>
      <c r="S1006" s="207"/>
      <c r="T1006" s="207"/>
      <c r="U1006" s="207"/>
      <c r="V1006" s="207"/>
      <c r="W1006" s="207"/>
      <c r="X1006" s="207"/>
      <c r="Y1006" s="207"/>
      <c r="Z1006" s="207"/>
    </row>
    <row r="1007" ht="15.75" customHeight="1">
      <c r="A1007" s="207"/>
      <c r="B1007" s="207"/>
      <c r="C1007" s="207"/>
      <c r="D1007" s="207"/>
      <c r="E1007" s="207"/>
      <c r="F1007" s="207"/>
      <c r="G1007" s="207"/>
      <c r="H1007" s="207"/>
      <c r="I1007" s="207"/>
      <c r="J1007" s="207"/>
      <c r="K1007" s="207"/>
      <c r="L1007" s="207"/>
      <c r="M1007" s="207"/>
      <c r="N1007" s="207"/>
      <c r="O1007" s="207"/>
      <c r="P1007" s="207"/>
      <c r="Q1007" s="207"/>
      <c r="R1007" s="207"/>
      <c r="S1007" s="207"/>
      <c r="T1007" s="207"/>
      <c r="U1007" s="207"/>
      <c r="V1007" s="207"/>
      <c r="W1007" s="207"/>
      <c r="X1007" s="207"/>
      <c r="Y1007" s="207"/>
      <c r="Z1007" s="207"/>
    </row>
    <row r="1008" ht="15.75" customHeight="1">
      <c r="A1008" s="207"/>
      <c r="B1008" s="207"/>
      <c r="C1008" s="207"/>
      <c r="D1008" s="207"/>
      <c r="E1008" s="207"/>
      <c r="F1008" s="207"/>
      <c r="G1008" s="207"/>
      <c r="H1008" s="207"/>
      <c r="I1008" s="207"/>
      <c r="J1008" s="207"/>
      <c r="K1008" s="207"/>
      <c r="L1008" s="207"/>
      <c r="M1008" s="207"/>
      <c r="N1008" s="207"/>
      <c r="O1008" s="207"/>
      <c r="P1008" s="207"/>
      <c r="Q1008" s="207"/>
      <c r="R1008" s="207"/>
      <c r="S1008" s="207"/>
      <c r="T1008" s="207"/>
      <c r="U1008" s="207"/>
      <c r="V1008" s="207"/>
      <c r="W1008" s="207"/>
      <c r="X1008" s="207"/>
      <c r="Y1008" s="207"/>
      <c r="Z1008" s="207"/>
    </row>
    <row r="1009" ht="15.75" customHeight="1">
      <c r="A1009" s="207"/>
      <c r="B1009" s="207"/>
      <c r="C1009" s="207"/>
      <c r="D1009" s="207"/>
      <c r="E1009" s="207"/>
      <c r="F1009" s="207"/>
      <c r="G1009" s="207"/>
      <c r="H1009" s="207"/>
      <c r="I1009" s="207"/>
      <c r="J1009" s="207"/>
      <c r="K1009" s="207"/>
      <c r="L1009" s="207"/>
      <c r="M1009" s="207"/>
      <c r="N1009" s="207"/>
      <c r="O1009" s="207"/>
      <c r="P1009" s="207"/>
      <c r="Q1009" s="207"/>
      <c r="R1009" s="207"/>
      <c r="S1009" s="207"/>
      <c r="T1009" s="207"/>
      <c r="U1009" s="207"/>
      <c r="V1009" s="207"/>
      <c r="W1009" s="207"/>
      <c r="X1009" s="207"/>
      <c r="Y1009" s="207"/>
      <c r="Z1009" s="207"/>
    </row>
    <row r="1010" ht="15.75" customHeight="1">
      <c r="A1010" s="207"/>
      <c r="B1010" s="207"/>
      <c r="C1010" s="207"/>
      <c r="D1010" s="207"/>
      <c r="E1010" s="207"/>
      <c r="F1010" s="207"/>
      <c r="G1010" s="207"/>
      <c r="H1010" s="207"/>
      <c r="I1010" s="207"/>
      <c r="J1010" s="207"/>
      <c r="K1010" s="207"/>
      <c r="L1010" s="207"/>
      <c r="M1010" s="207"/>
      <c r="N1010" s="207"/>
      <c r="O1010" s="207"/>
      <c r="P1010" s="207"/>
      <c r="Q1010" s="207"/>
      <c r="R1010" s="207"/>
      <c r="S1010" s="207"/>
      <c r="T1010" s="207"/>
      <c r="U1010" s="207"/>
      <c r="V1010" s="207"/>
      <c r="W1010" s="207"/>
      <c r="X1010" s="207"/>
      <c r="Y1010" s="207"/>
      <c r="Z1010" s="207"/>
    </row>
    <row r="1011" ht="15.75" customHeight="1">
      <c r="A1011" s="207"/>
      <c r="B1011" s="207"/>
      <c r="C1011" s="207"/>
      <c r="D1011" s="207"/>
      <c r="E1011" s="207"/>
      <c r="F1011" s="207"/>
      <c r="G1011" s="207"/>
      <c r="H1011" s="207"/>
      <c r="I1011" s="207"/>
      <c r="J1011" s="207"/>
      <c r="K1011" s="207"/>
      <c r="L1011" s="207"/>
      <c r="M1011" s="207"/>
      <c r="N1011" s="207"/>
      <c r="O1011" s="207"/>
      <c r="P1011" s="207"/>
      <c r="Q1011" s="207"/>
      <c r="R1011" s="207"/>
      <c r="S1011" s="207"/>
      <c r="T1011" s="207"/>
      <c r="U1011" s="207"/>
      <c r="V1011" s="207"/>
      <c r="W1011" s="207"/>
      <c r="X1011" s="207"/>
      <c r="Y1011" s="207"/>
      <c r="Z1011" s="207"/>
    </row>
    <row r="1012" ht="15.75" customHeight="1">
      <c r="A1012" s="207"/>
      <c r="B1012" s="207"/>
      <c r="C1012" s="207"/>
      <c r="D1012" s="207"/>
      <c r="E1012" s="207"/>
      <c r="F1012" s="207"/>
      <c r="G1012" s="207"/>
      <c r="H1012" s="207"/>
      <c r="I1012" s="207"/>
      <c r="J1012" s="207"/>
      <c r="K1012" s="207"/>
      <c r="L1012" s="207"/>
      <c r="M1012" s="207"/>
      <c r="N1012" s="207"/>
      <c r="O1012" s="207"/>
      <c r="P1012" s="207"/>
      <c r="Q1012" s="207"/>
      <c r="R1012" s="207"/>
      <c r="S1012" s="207"/>
      <c r="T1012" s="207"/>
      <c r="U1012" s="207"/>
      <c r="V1012" s="207"/>
      <c r="W1012" s="207"/>
      <c r="X1012" s="207"/>
      <c r="Y1012" s="207"/>
      <c r="Z1012" s="207"/>
    </row>
    <row r="1013" ht="15.75" customHeight="1">
      <c r="A1013" s="207"/>
      <c r="B1013" s="207"/>
      <c r="C1013" s="207"/>
      <c r="D1013" s="207"/>
      <c r="E1013" s="207"/>
      <c r="F1013" s="207"/>
      <c r="G1013" s="207"/>
      <c r="H1013" s="207"/>
      <c r="I1013" s="207"/>
      <c r="J1013" s="207"/>
      <c r="K1013" s="207"/>
      <c r="L1013" s="207"/>
      <c r="M1013" s="207"/>
      <c r="N1013" s="207"/>
      <c r="O1013" s="207"/>
      <c r="P1013" s="207"/>
      <c r="Q1013" s="207"/>
      <c r="R1013" s="207"/>
      <c r="S1013" s="207"/>
      <c r="T1013" s="207"/>
      <c r="U1013" s="207"/>
      <c r="V1013" s="207"/>
      <c r="W1013" s="207"/>
      <c r="X1013" s="207"/>
      <c r="Y1013" s="207"/>
      <c r="Z1013" s="207"/>
    </row>
    <row r="1014" ht="15.75" customHeight="1">
      <c r="A1014" s="207"/>
      <c r="B1014" s="207"/>
      <c r="C1014" s="207"/>
      <c r="D1014" s="207"/>
      <c r="E1014" s="207"/>
      <c r="F1014" s="207"/>
      <c r="G1014" s="207"/>
      <c r="H1014" s="207"/>
      <c r="I1014" s="207"/>
      <c r="J1014" s="207"/>
      <c r="K1014" s="207"/>
      <c r="L1014" s="207"/>
      <c r="M1014" s="207"/>
      <c r="N1014" s="207"/>
      <c r="O1014" s="207"/>
      <c r="P1014" s="207"/>
      <c r="Q1014" s="207"/>
      <c r="R1014" s="207"/>
      <c r="S1014" s="207"/>
      <c r="T1014" s="207"/>
      <c r="U1014" s="207"/>
      <c r="V1014" s="207"/>
      <c r="W1014" s="207"/>
      <c r="X1014" s="207"/>
      <c r="Y1014" s="207"/>
      <c r="Z1014" s="207"/>
    </row>
    <row r="1015" ht="15.75" customHeight="1">
      <c r="A1015" s="207"/>
      <c r="B1015" s="207"/>
      <c r="C1015" s="207"/>
      <c r="D1015" s="207"/>
      <c r="E1015" s="207"/>
      <c r="F1015" s="207"/>
      <c r="G1015" s="207"/>
      <c r="H1015" s="207"/>
      <c r="I1015" s="207"/>
      <c r="J1015" s="207"/>
      <c r="K1015" s="207"/>
      <c r="L1015" s="207"/>
      <c r="M1015" s="207"/>
      <c r="N1015" s="207"/>
      <c r="O1015" s="207"/>
      <c r="P1015" s="207"/>
      <c r="Q1015" s="207"/>
      <c r="R1015" s="207"/>
      <c r="S1015" s="207"/>
      <c r="T1015" s="207"/>
      <c r="U1015" s="207"/>
      <c r="V1015" s="207"/>
      <c r="W1015" s="207"/>
      <c r="X1015" s="207"/>
      <c r="Y1015" s="207"/>
      <c r="Z1015" s="207"/>
    </row>
    <row r="1016" ht="15.75" customHeight="1">
      <c r="A1016" s="207"/>
      <c r="B1016" s="207"/>
      <c r="C1016" s="207"/>
      <c r="D1016" s="207"/>
      <c r="E1016" s="207"/>
      <c r="F1016" s="207"/>
      <c r="G1016" s="207"/>
      <c r="H1016" s="207"/>
      <c r="I1016" s="207"/>
      <c r="J1016" s="207"/>
      <c r="K1016" s="207"/>
      <c r="L1016" s="207"/>
      <c r="M1016" s="207"/>
      <c r="N1016" s="207"/>
      <c r="O1016" s="207"/>
      <c r="P1016" s="207"/>
      <c r="Q1016" s="207"/>
      <c r="R1016" s="207"/>
      <c r="S1016" s="207"/>
      <c r="T1016" s="207"/>
      <c r="U1016" s="207"/>
      <c r="V1016" s="207"/>
      <c r="W1016" s="207"/>
      <c r="X1016" s="207"/>
      <c r="Y1016" s="207"/>
      <c r="Z1016" s="207"/>
    </row>
    <row r="1017" ht="15.75" customHeight="1">
      <c r="A1017" s="207"/>
      <c r="B1017" s="207"/>
      <c r="C1017" s="207"/>
      <c r="D1017" s="207"/>
      <c r="E1017" s="207"/>
      <c r="F1017" s="207"/>
      <c r="G1017" s="207"/>
      <c r="H1017" s="207"/>
      <c r="I1017" s="207"/>
      <c r="J1017" s="207"/>
      <c r="K1017" s="207"/>
      <c r="L1017" s="207"/>
      <c r="M1017" s="207"/>
      <c r="N1017" s="207"/>
      <c r="O1017" s="207"/>
      <c r="P1017" s="207"/>
      <c r="Q1017" s="207"/>
      <c r="R1017" s="207"/>
      <c r="S1017" s="207"/>
      <c r="T1017" s="207"/>
      <c r="U1017" s="207"/>
      <c r="V1017" s="207"/>
      <c r="W1017" s="207"/>
      <c r="X1017" s="207"/>
      <c r="Y1017" s="207"/>
      <c r="Z1017" s="207"/>
    </row>
    <row r="1018" ht="15.75" customHeight="1">
      <c r="A1018" s="207"/>
      <c r="B1018" s="207"/>
      <c r="C1018" s="207"/>
      <c r="D1018" s="207"/>
      <c r="E1018" s="207"/>
      <c r="F1018" s="207"/>
      <c r="G1018" s="207"/>
      <c r="H1018" s="207"/>
      <c r="I1018" s="207"/>
      <c r="J1018" s="207"/>
      <c r="K1018" s="207"/>
      <c r="L1018" s="207"/>
      <c r="M1018" s="207"/>
      <c r="N1018" s="207"/>
      <c r="O1018" s="207"/>
      <c r="P1018" s="207"/>
      <c r="Q1018" s="207"/>
      <c r="R1018" s="207"/>
      <c r="S1018" s="207"/>
      <c r="T1018" s="207"/>
      <c r="U1018" s="207"/>
      <c r="V1018" s="207"/>
      <c r="W1018" s="207"/>
      <c r="X1018" s="207"/>
      <c r="Y1018" s="207"/>
      <c r="Z1018" s="207"/>
    </row>
    <row r="1019" ht="15.75" customHeight="1">
      <c r="A1019" s="207"/>
      <c r="B1019" s="207"/>
      <c r="C1019" s="207"/>
      <c r="D1019" s="207"/>
      <c r="E1019" s="207"/>
      <c r="F1019" s="207"/>
      <c r="G1019" s="207"/>
      <c r="H1019" s="207"/>
      <c r="I1019" s="207"/>
      <c r="J1019" s="207"/>
      <c r="K1019" s="207"/>
      <c r="L1019" s="207"/>
      <c r="M1019" s="207"/>
      <c r="N1019" s="207"/>
      <c r="O1019" s="207"/>
      <c r="P1019" s="207"/>
      <c r="Q1019" s="207"/>
      <c r="R1019" s="207"/>
      <c r="S1019" s="207"/>
      <c r="T1019" s="207"/>
      <c r="U1019" s="207"/>
      <c r="V1019" s="207"/>
      <c r="W1019" s="207"/>
      <c r="X1019" s="207"/>
      <c r="Y1019" s="207"/>
      <c r="Z1019" s="207"/>
    </row>
    <row r="1020" ht="15.75" customHeight="1">
      <c r="A1020" s="207"/>
      <c r="B1020" s="207"/>
      <c r="C1020" s="207"/>
      <c r="D1020" s="207"/>
      <c r="E1020" s="207"/>
      <c r="F1020" s="207"/>
      <c r="G1020" s="207"/>
      <c r="H1020" s="207"/>
      <c r="I1020" s="207"/>
      <c r="J1020" s="207"/>
      <c r="K1020" s="207"/>
      <c r="L1020" s="207"/>
      <c r="M1020" s="207"/>
      <c r="N1020" s="207"/>
      <c r="O1020" s="207"/>
      <c r="P1020" s="207"/>
      <c r="Q1020" s="207"/>
      <c r="R1020" s="207"/>
      <c r="S1020" s="207"/>
      <c r="T1020" s="207"/>
      <c r="U1020" s="207"/>
      <c r="V1020" s="207"/>
      <c r="W1020" s="207"/>
      <c r="X1020" s="207"/>
      <c r="Y1020" s="207"/>
      <c r="Z1020" s="207"/>
    </row>
    <row r="1021" ht="15.75" customHeight="1">
      <c r="A1021" s="207"/>
      <c r="B1021" s="207"/>
      <c r="C1021" s="207"/>
      <c r="D1021" s="207"/>
      <c r="E1021" s="207"/>
      <c r="F1021" s="207"/>
      <c r="G1021" s="207"/>
      <c r="H1021" s="207"/>
      <c r="I1021" s="207"/>
      <c r="J1021" s="207"/>
      <c r="K1021" s="207"/>
      <c r="L1021" s="207"/>
      <c r="M1021" s="207"/>
      <c r="N1021" s="207"/>
      <c r="O1021" s="207"/>
      <c r="P1021" s="207"/>
      <c r="Q1021" s="207"/>
      <c r="R1021" s="207"/>
      <c r="S1021" s="207"/>
      <c r="T1021" s="207"/>
      <c r="U1021" s="207"/>
      <c r="V1021" s="207"/>
      <c r="W1021" s="207"/>
      <c r="X1021" s="207"/>
      <c r="Y1021" s="207"/>
      <c r="Z1021" s="207"/>
    </row>
    <row r="1022" ht="15.75" customHeight="1">
      <c r="A1022" s="207"/>
      <c r="B1022" s="207"/>
      <c r="C1022" s="207"/>
      <c r="D1022" s="207"/>
      <c r="E1022" s="207"/>
      <c r="F1022" s="207"/>
      <c r="G1022" s="207"/>
      <c r="H1022" s="207"/>
      <c r="I1022" s="207"/>
      <c r="J1022" s="207"/>
      <c r="K1022" s="207"/>
      <c r="L1022" s="207"/>
      <c r="M1022" s="207"/>
      <c r="N1022" s="207"/>
      <c r="O1022" s="207"/>
      <c r="P1022" s="207"/>
      <c r="Q1022" s="207"/>
      <c r="R1022" s="207"/>
      <c r="S1022" s="207"/>
      <c r="T1022" s="207"/>
      <c r="U1022" s="207"/>
      <c r="V1022" s="207"/>
      <c r="W1022" s="207"/>
      <c r="X1022" s="207"/>
      <c r="Y1022" s="207"/>
      <c r="Z1022" s="207"/>
    </row>
    <row r="1023" ht="15.75" customHeight="1">
      <c r="A1023" s="207"/>
      <c r="B1023" s="207"/>
      <c r="C1023" s="207"/>
      <c r="D1023" s="207"/>
      <c r="E1023" s="207"/>
      <c r="F1023" s="207"/>
      <c r="G1023" s="207"/>
      <c r="H1023" s="207"/>
      <c r="I1023" s="207"/>
      <c r="J1023" s="207"/>
      <c r="K1023" s="207"/>
      <c r="L1023" s="207"/>
      <c r="M1023" s="207"/>
      <c r="N1023" s="207"/>
      <c r="O1023" s="207"/>
      <c r="P1023" s="207"/>
      <c r="Q1023" s="207"/>
      <c r="R1023" s="207"/>
      <c r="S1023" s="207"/>
      <c r="T1023" s="207"/>
      <c r="U1023" s="207"/>
      <c r="V1023" s="207"/>
      <c r="W1023" s="207"/>
      <c r="X1023" s="207"/>
      <c r="Y1023" s="207"/>
      <c r="Z1023" s="207"/>
    </row>
    <row r="1024" ht="15.75" customHeight="1">
      <c r="A1024" s="207"/>
      <c r="B1024" s="207"/>
      <c r="C1024" s="207"/>
      <c r="D1024" s="207"/>
      <c r="E1024" s="207"/>
      <c r="F1024" s="207"/>
      <c r="G1024" s="207"/>
      <c r="H1024" s="207"/>
      <c r="I1024" s="207"/>
      <c r="J1024" s="207"/>
      <c r="K1024" s="207"/>
      <c r="L1024" s="207"/>
      <c r="M1024" s="207"/>
      <c r="N1024" s="207"/>
      <c r="O1024" s="207"/>
      <c r="P1024" s="207"/>
      <c r="Q1024" s="207"/>
      <c r="R1024" s="207"/>
      <c r="S1024" s="207"/>
      <c r="T1024" s="207"/>
      <c r="U1024" s="207"/>
      <c r="V1024" s="207"/>
      <c r="W1024" s="207"/>
      <c r="X1024" s="207"/>
      <c r="Y1024" s="207"/>
      <c r="Z1024" s="207"/>
    </row>
    <row r="1025" ht="15.75" customHeight="1">
      <c r="A1025" s="207"/>
      <c r="B1025" s="207"/>
      <c r="C1025" s="207"/>
      <c r="D1025" s="207"/>
      <c r="E1025" s="207"/>
      <c r="F1025" s="207"/>
      <c r="G1025" s="207"/>
      <c r="H1025" s="207"/>
      <c r="I1025" s="207"/>
      <c r="J1025" s="207"/>
      <c r="K1025" s="207"/>
      <c r="L1025" s="207"/>
      <c r="M1025" s="207"/>
      <c r="N1025" s="207"/>
      <c r="O1025" s="207"/>
      <c r="P1025" s="207"/>
      <c r="Q1025" s="207"/>
      <c r="R1025" s="207"/>
      <c r="S1025" s="207"/>
      <c r="T1025" s="207"/>
      <c r="U1025" s="207"/>
      <c r="V1025" s="207"/>
      <c r="W1025" s="207"/>
      <c r="X1025" s="207"/>
      <c r="Y1025" s="207"/>
      <c r="Z1025" s="207"/>
    </row>
    <row r="1026" ht="15.75" customHeight="1">
      <c r="A1026" s="207"/>
      <c r="B1026" s="207"/>
      <c r="C1026" s="207"/>
      <c r="D1026" s="207"/>
      <c r="E1026" s="207"/>
      <c r="F1026" s="207"/>
      <c r="G1026" s="207"/>
      <c r="H1026" s="207"/>
      <c r="I1026" s="207"/>
      <c r="J1026" s="207"/>
      <c r="K1026" s="207"/>
      <c r="L1026" s="207"/>
      <c r="M1026" s="207"/>
      <c r="N1026" s="207"/>
      <c r="O1026" s="207"/>
      <c r="P1026" s="207"/>
      <c r="Q1026" s="207"/>
      <c r="R1026" s="207"/>
      <c r="S1026" s="207"/>
      <c r="T1026" s="207"/>
      <c r="U1026" s="207"/>
      <c r="V1026" s="207"/>
      <c r="W1026" s="207"/>
      <c r="X1026" s="207"/>
      <c r="Y1026" s="207"/>
      <c r="Z1026" s="207"/>
    </row>
  </sheetData>
  <mergeCells count="5">
    <mergeCell ref="D5:F5"/>
    <mergeCell ref="B19:B44"/>
    <mergeCell ref="B46:B63"/>
    <mergeCell ref="B65:B76"/>
    <mergeCell ref="B78:B85"/>
  </mergeCells>
  <dataValidations>
    <dataValidation type="list" allowBlank="1" showErrorMessage="1" sqref="G19:G24 G28:G62 G64:G69 G71:G79 G81:G89 G91:G99 G101:G112 G114:G138 G140:G150 G152:G161 G163:G189 G191:G199">
      <formula1>"Pass,Fail,Update required,Not implemented,Not tested,Bug noticed"</formula1>
    </dataValidation>
    <dataValidation type="list" allowBlank="1" showErrorMessage="1" sqref="F17:F198 F200:F201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71"/>
    <col customWidth="1" min="3" max="3" width="3.86"/>
    <col customWidth="1" min="4" max="4" width="73.71"/>
    <col customWidth="1" min="5" max="5" width="81.86"/>
    <col customWidth="1" min="6" max="6" width="26.57"/>
    <col customWidth="1" min="7" max="7" width="43.57"/>
    <col customWidth="1" min="8" max="10" width="8.71"/>
  </cols>
  <sheetData>
    <row r="2" ht="15.0" customHeight="1">
      <c r="J2" s="5" t="s">
        <v>11</v>
      </c>
    </row>
    <row r="3" ht="15.0" customHeight="1">
      <c r="J3" s="5" t="s">
        <v>12</v>
      </c>
    </row>
    <row r="6" ht="15.0" customHeight="1">
      <c r="D6" s="7" t="s">
        <v>14</v>
      </c>
    </row>
    <row r="7" ht="15.0" customHeight="1">
      <c r="D7" s="9"/>
      <c r="E7" s="12"/>
      <c r="F7" s="12"/>
    </row>
    <row r="8" ht="15.0" customHeight="1">
      <c r="D8" s="16" t="s">
        <v>18</v>
      </c>
      <c r="E8" s="18"/>
      <c r="F8" s="20" t="s">
        <v>21</v>
      </c>
      <c r="G8" s="270"/>
    </row>
    <row r="9" ht="15.0" customHeight="1">
      <c r="D9" s="22"/>
      <c r="E9" s="23"/>
      <c r="F9" s="25" t="s">
        <v>24</v>
      </c>
      <c r="G9" s="273"/>
    </row>
    <row r="10" ht="15.0" customHeight="1">
      <c r="D10" s="27"/>
      <c r="E10" s="23"/>
      <c r="F10" s="15" t="s">
        <v>26</v>
      </c>
      <c r="G10" s="28" t="s">
        <v>259</v>
      </c>
    </row>
    <row r="11" ht="15.0" customHeight="1">
      <c r="D11" s="27" t="s">
        <v>28</v>
      </c>
      <c r="E11" s="23" t="str">
        <f t="shared" ref="E11:E12" si="1">COUNTIF(#REF!,J2)</f>
        <v>#REF!</v>
      </c>
      <c r="F11" s="15" t="s">
        <v>30</v>
      </c>
      <c r="G11" s="28" t="s">
        <v>31</v>
      </c>
    </row>
    <row r="12" ht="15.0" customHeight="1">
      <c r="D12" s="27" t="s">
        <v>33</v>
      </c>
      <c r="E12" s="23" t="str">
        <f t="shared" si="1"/>
        <v>#REF!</v>
      </c>
      <c r="F12" s="14" t="s">
        <v>34</v>
      </c>
      <c r="G12" s="48" t="str">
        <f>(E11/E13)*100</f>
        <v>#REF!</v>
      </c>
    </row>
    <row r="13" ht="15.0" customHeight="1">
      <c r="D13" s="50" t="s">
        <v>35</v>
      </c>
      <c r="E13" s="51" t="str">
        <f>SUM(E11:E12)</f>
        <v>#REF!</v>
      </c>
      <c r="F13" s="52" t="s">
        <v>37</v>
      </c>
      <c r="G13" s="53" t="str">
        <f>(E12/E13)*100</f>
        <v>#REF!</v>
      </c>
    </row>
    <row r="15" ht="45.0" customHeight="1">
      <c r="A15" s="54"/>
      <c r="B15" s="57" t="s">
        <v>39</v>
      </c>
      <c r="C15" s="56"/>
      <c r="D15" s="57" t="s">
        <v>41</v>
      </c>
      <c r="E15" s="57" t="s">
        <v>42</v>
      </c>
      <c r="F15" s="57" t="s">
        <v>43</v>
      </c>
      <c r="G15" s="58" t="s">
        <v>44</v>
      </c>
    </row>
    <row r="16" ht="15.0" customHeight="1">
      <c r="B16" s="283"/>
      <c r="C16" s="6"/>
      <c r="D16" s="104"/>
      <c r="E16" s="105"/>
      <c r="F16" s="107"/>
      <c r="G16" s="109"/>
    </row>
    <row r="18" ht="15.0" customHeight="1">
      <c r="B18" s="171" t="s">
        <v>308</v>
      </c>
      <c r="C18" s="6"/>
      <c r="D18" s="61" t="s">
        <v>332</v>
      </c>
      <c r="E18" s="295"/>
      <c r="F18" s="296"/>
      <c r="G18" s="191"/>
    </row>
    <row r="19" ht="71.25" customHeight="1">
      <c r="B19" s="67"/>
      <c r="C19" s="6"/>
      <c r="D19" s="172" t="s">
        <v>344</v>
      </c>
      <c r="E19" s="173" t="s">
        <v>346</v>
      </c>
      <c r="F19" s="297" t="s">
        <v>11</v>
      </c>
      <c r="G19" s="299"/>
    </row>
    <row r="20" ht="81.75" customHeight="1">
      <c r="B20" s="67"/>
      <c r="C20" s="6"/>
      <c r="D20" s="172" t="s">
        <v>358</v>
      </c>
      <c r="E20" s="173" t="s">
        <v>360</v>
      </c>
      <c r="F20" s="297" t="s">
        <v>11</v>
      </c>
      <c r="G20" s="299"/>
    </row>
    <row r="21" ht="62.25" customHeight="1">
      <c r="B21" s="67"/>
      <c r="C21" s="6"/>
      <c r="D21" s="172" t="s">
        <v>362</v>
      </c>
      <c r="E21" s="173" t="s">
        <v>363</v>
      </c>
      <c r="F21" s="297" t="s">
        <v>11</v>
      </c>
      <c r="G21" s="299"/>
    </row>
    <row r="22" ht="15.0" customHeight="1">
      <c r="B22" s="67"/>
      <c r="C22" s="6"/>
      <c r="D22" s="303" t="s">
        <v>368</v>
      </c>
      <c r="E22" s="305"/>
      <c r="F22" s="297" t="s">
        <v>11</v>
      </c>
      <c r="G22" s="299"/>
    </row>
    <row r="23" ht="46.5" customHeight="1">
      <c r="B23" s="67"/>
      <c r="C23" s="6"/>
      <c r="D23" s="172" t="s">
        <v>375</v>
      </c>
      <c r="E23" s="173" t="s">
        <v>376</v>
      </c>
      <c r="F23" s="297" t="s">
        <v>11</v>
      </c>
      <c r="G23" s="299"/>
    </row>
    <row r="24" ht="15.0" customHeight="1">
      <c r="B24" s="67"/>
      <c r="C24" s="6"/>
      <c r="D24" s="172" t="s">
        <v>379</v>
      </c>
      <c r="E24" s="173" t="s">
        <v>381</v>
      </c>
      <c r="F24" s="297" t="s">
        <v>11</v>
      </c>
      <c r="G24" s="299"/>
    </row>
    <row r="25" ht="15.0" customHeight="1">
      <c r="B25" s="67"/>
      <c r="C25" s="6"/>
      <c r="D25" s="303" t="s">
        <v>383</v>
      </c>
      <c r="E25" s="305"/>
      <c r="F25" s="297" t="s">
        <v>11</v>
      </c>
      <c r="G25" s="299"/>
    </row>
    <row r="26" ht="15.0" customHeight="1">
      <c r="B26" s="67"/>
      <c r="C26" s="6"/>
      <c r="D26" s="172" t="s">
        <v>389</v>
      </c>
      <c r="E26" s="173" t="s">
        <v>391</v>
      </c>
      <c r="F26" s="297" t="s">
        <v>11</v>
      </c>
      <c r="G26" s="299"/>
    </row>
    <row r="27" ht="15.0" customHeight="1">
      <c r="B27" s="67"/>
      <c r="C27" s="6"/>
      <c r="D27" s="172" t="s">
        <v>392</v>
      </c>
      <c r="E27" s="173" t="s">
        <v>393</v>
      </c>
      <c r="F27" s="297" t="s">
        <v>11</v>
      </c>
      <c r="G27" s="299"/>
    </row>
    <row r="28" ht="15.0" customHeight="1">
      <c r="B28" s="67"/>
      <c r="C28" s="6"/>
      <c r="D28" s="303" t="s">
        <v>406</v>
      </c>
      <c r="E28" s="305"/>
      <c r="F28" s="297" t="s">
        <v>11</v>
      </c>
      <c r="G28" s="299"/>
    </row>
    <row r="29" ht="15.0" customHeight="1">
      <c r="B29" s="67"/>
      <c r="C29" s="6"/>
      <c r="D29" s="172" t="s">
        <v>412</v>
      </c>
      <c r="E29" s="173" t="s">
        <v>413</v>
      </c>
      <c r="F29" s="297" t="s">
        <v>11</v>
      </c>
      <c r="G29" s="299"/>
    </row>
    <row r="30" ht="15.0" customHeight="1">
      <c r="B30" s="67"/>
      <c r="C30" s="6"/>
      <c r="D30" s="303" t="s">
        <v>419</v>
      </c>
      <c r="E30" s="305"/>
      <c r="F30" s="297" t="s">
        <v>11</v>
      </c>
      <c r="G30" s="299"/>
    </row>
    <row r="31" ht="15.0" customHeight="1">
      <c r="B31" s="67"/>
      <c r="C31" s="6"/>
      <c r="D31" s="172" t="s">
        <v>424</v>
      </c>
      <c r="E31" s="173" t="s">
        <v>426</v>
      </c>
      <c r="F31" s="297" t="s">
        <v>11</v>
      </c>
      <c r="G31" s="299"/>
    </row>
    <row r="32" ht="15.0" customHeight="1">
      <c r="B32" s="67"/>
      <c r="C32" s="6"/>
      <c r="D32" s="172" t="s">
        <v>429</v>
      </c>
      <c r="E32" s="173" t="s">
        <v>430</v>
      </c>
      <c r="F32" s="297" t="s">
        <v>11</v>
      </c>
      <c r="G32" s="299"/>
    </row>
    <row r="33" ht="15.0" customHeight="1">
      <c r="B33" s="67"/>
      <c r="C33" s="6"/>
      <c r="D33" s="172" t="s">
        <v>433</v>
      </c>
      <c r="E33" s="173" t="s">
        <v>434</v>
      </c>
      <c r="F33" s="297" t="s">
        <v>11</v>
      </c>
      <c r="G33" s="299"/>
    </row>
    <row r="34" ht="15.0" customHeight="1">
      <c r="B34" s="67"/>
      <c r="C34" s="6"/>
      <c r="D34" s="303" t="s">
        <v>437</v>
      </c>
      <c r="E34" s="305"/>
      <c r="F34" s="297" t="s">
        <v>11</v>
      </c>
      <c r="G34" s="299"/>
    </row>
    <row r="35" ht="15.0" customHeight="1">
      <c r="B35" s="67"/>
      <c r="C35" s="6"/>
      <c r="D35" s="307" t="s">
        <v>442</v>
      </c>
      <c r="E35" s="174" t="s">
        <v>445</v>
      </c>
      <c r="F35" s="297" t="s">
        <v>11</v>
      </c>
      <c r="G35" s="299"/>
    </row>
    <row r="36" ht="58.5" customHeight="1">
      <c r="B36" s="67"/>
      <c r="C36" s="6"/>
      <c r="D36" s="172" t="s">
        <v>452</v>
      </c>
      <c r="E36" s="173" t="s">
        <v>453</v>
      </c>
      <c r="F36" s="297" t="s">
        <v>11</v>
      </c>
      <c r="G36" s="299"/>
    </row>
    <row r="37" ht="15.0" customHeight="1">
      <c r="B37" s="67"/>
      <c r="C37" s="6"/>
      <c r="D37" s="172" t="s">
        <v>456</v>
      </c>
      <c r="E37" s="173" t="s">
        <v>457</v>
      </c>
      <c r="F37" s="297" t="s">
        <v>11</v>
      </c>
      <c r="G37" s="299"/>
    </row>
    <row r="38" ht="15.0" customHeight="1">
      <c r="B38" s="67"/>
      <c r="C38" s="6"/>
      <c r="D38" s="172" t="s">
        <v>461</v>
      </c>
      <c r="E38" s="173" t="s">
        <v>463</v>
      </c>
      <c r="F38" s="297" t="s">
        <v>11</v>
      </c>
      <c r="G38" s="299"/>
    </row>
    <row r="39" ht="15.0" customHeight="1">
      <c r="B39" s="67"/>
      <c r="C39" s="6"/>
      <c r="D39" s="303" t="s">
        <v>466</v>
      </c>
      <c r="E39" s="305"/>
      <c r="F39" s="297" t="s">
        <v>11</v>
      </c>
      <c r="G39" s="299"/>
    </row>
    <row r="40" ht="41.25" customHeight="1">
      <c r="B40" s="67"/>
      <c r="C40" s="6"/>
      <c r="D40" s="172" t="s">
        <v>471</v>
      </c>
      <c r="E40" s="173" t="s">
        <v>473</v>
      </c>
      <c r="F40" s="297" t="s">
        <v>11</v>
      </c>
      <c r="G40" s="299"/>
    </row>
    <row r="41" ht="49.5" customHeight="1">
      <c r="B41" s="67"/>
      <c r="C41" s="6"/>
      <c r="D41" s="172" t="s">
        <v>477</v>
      </c>
      <c r="E41" s="173" t="s">
        <v>479</v>
      </c>
      <c r="F41" s="297" t="s">
        <v>11</v>
      </c>
      <c r="G41" s="299"/>
    </row>
    <row r="42" ht="36.0" customHeight="1">
      <c r="B42" s="67"/>
      <c r="C42" s="6"/>
      <c r="D42" s="172" t="s">
        <v>482</v>
      </c>
      <c r="E42" s="173" t="s">
        <v>483</v>
      </c>
      <c r="F42" s="297" t="s">
        <v>11</v>
      </c>
      <c r="G42" s="299"/>
    </row>
    <row r="43" ht="15.0" customHeight="1">
      <c r="B43" s="67"/>
      <c r="C43" s="6"/>
      <c r="D43" s="172" t="s">
        <v>486</v>
      </c>
      <c r="E43" s="173" t="s">
        <v>487</v>
      </c>
      <c r="F43" s="297" t="s">
        <v>11</v>
      </c>
      <c r="G43" s="299"/>
    </row>
    <row r="44" ht="15.0" customHeight="1">
      <c r="B44" s="67"/>
      <c r="C44" s="6"/>
      <c r="D44" s="172" t="s">
        <v>490</v>
      </c>
      <c r="E44" s="173" t="s">
        <v>491</v>
      </c>
      <c r="F44" s="297" t="s">
        <v>11</v>
      </c>
      <c r="G44" s="299"/>
    </row>
    <row r="45" ht="15.0" customHeight="1">
      <c r="B45" s="67"/>
      <c r="C45" s="6"/>
      <c r="D45" s="172" t="s">
        <v>495</v>
      </c>
      <c r="E45" s="173" t="s">
        <v>497</v>
      </c>
      <c r="F45" s="297" t="s">
        <v>11</v>
      </c>
      <c r="G45" s="299"/>
    </row>
    <row r="46" ht="15.0" customHeight="1">
      <c r="B46" s="67"/>
      <c r="C46" s="6"/>
      <c r="D46" s="172" t="s">
        <v>486</v>
      </c>
      <c r="E46" s="173" t="s">
        <v>487</v>
      </c>
      <c r="F46" s="297" t="s">
        <v>11</v>
      </c>
      <c r="G46" s="299"/>
    </row>
    <row r="47" ht="15.0" customHeight="1">
      <c r="B47" s="67"/>
      <c r="C47" s="6"/>
      <c r="D47" s="172" t="s">
        <v>490</v>
      </c>
      <c r="E47" s="173" t="s">
        <v>491</v>
      </c>
      <c r="F47" s="297" t="s">
        <v>11</v>
      </c>
      <c r="G47" s="299"/>
    </row>
    <row r="48" ht="15.0" customHeight="1">
      <c r="B48" s="67"/>
      <c r="C48" s="6"/>
      <c r="D48" s="303" t="s">
        <v>506</v>
      </c>
      <c r="E48" s="173" t="s">
        <v>508</v>
      </c>
      <c r="F48" s="297" t="s">
        <v>11</v>
      </c>
      <c r="G48" s="299"/>
    </row>
    <row r="49" ht="48.0" customHeight="1">
      <c r="B49" s="67"/>
      <c r="C49" s="6"/>
      <c r="D49" s="307" t="s">
        <v>477</v>
      </c>
      <c r="E49" s="173" t="s">
        <v>479</v>
      </c>
      <c r="F49" s="297" t="s">
        <v>11</v>
      </c>
      <c r="G49" s="299"/>
    </row>
    <row r="50" ht="15.0" customHeight="1">
      <c r="B50" s="67"/>
      <c r="C50" s="6"/>
      <c r="D50" s="172" t="s">
        <v>482</v>
      </c>
      <c r="E50" s="173" t="s">
        <v>483</v>
      </c>
      <c r="F50" s="297" t="s">
        <v>11</v>
      </c>
      <c r="G50" s="299"/>
    </row>
    <row r="51" ht="15.0" customHeight="1">
      <c r="B51" s="67"/>
      <c r="C51" s="6"/>
      <c r="D51" s="172" t="s">
        <v>486</v>
      </c>
      <c r="E51" s="173" t="s">
        <v>487</v>
      </c>
      <c r="F51" s="297" t="s">
        <v>11</v>
      </c>
      <c r="G51" s="299"/>
    </row>
    <row r="52" ht="15.0" customHeight="1">
      <c r="B52" s="67"/>
      <c r="C52" s="6"/>
      <c r="D52" s="98" t="s">
        <v>86</v>
      </c>
      <c r="E52" s="319"/>
      <c r="F52" s="297" t="s">
        <v>11</v>
      </c>
      <c r="G52" s="321"/>
    </row>
    <row r="53" ht="15.0" customHeight="1">
      <c r="B53" s="67"/>
      <c r="C53" s="6"/>
      <c r="D53" s="104"/>
      <c r="E53" s="105"/>
      <c r="F53" s="297" t="s">
        <v>11</v>
      </c>
      <c r="G53" s="188"/>
    </row>
    <row r="54" ht="15.0" customHeight="1">
      <c r="B54" s="67"/>
      <c r="C54" s="6"/>
      <c r="D54" s="322" t="s">
        <v>529</v>
      </c>
      <c r="E54" s="323"/>
      <c r="F54" s="297" t="s">
        <v>11</v>
      </c>
      <c r="G54" s="191"/>
    </row>
    <row r="55" ht="15.0" customHeight="1">
      <c r="B55" s="67"/>
      <c r="C55" s="6"/>
      <c r="D55" s="115" t="s">
        <v>535</v>
      </c>
      <c r="E55" s="118" t="s">
        <v>539</v>
      </c>
      <c r="F55" s="297" t="s">
        <v>11</v>
      </c>
      <c r="G55" s="299"/>
    </row>
    <row r="56" ht="15.0" customHeight="1">
      <c r="B56" s="67"/>
      <c r="C56" s="6"/>
      <c r="D56" s="325" t="s">
        <v>545</v>
      </c>
      <c r="E56" s="177" t="s">
        <v>547</v>
      </c>
      <c r="F56" s="297" t="s">
        <v>11</v>
      </c>
      <c r="G56" s="299"/>
    </row>
    <row r="57" ht="15.0" customHeight="1">
      <c r="B57" s="67"/>
      <c r="C57" s="6"/>
      <c r="D57" s="325" t="s">
        <v>552</v>
      </c>
      <c r="E57" s="177" t="s">
        <v>553</v>
      </c>
      <c r="F57" s="297" t="s">
        <v>11</v>
      </c>
      <c r="G57" s="299"/>
    </row>
    <row r="58" ht="15.0" customHeight="1">
      <c r="B58" s="67"/>
      <c r="C58" s="6"/>
      <c r="D58" s="325" t="s">
        <v>554</v>
      </c>
      <c r="E58" s="177" t="s">
        <v>556</v>
      </c>
      <c r="F58" s="297" t="s">
        <v>11</v>
      </c>
      <c r="G58" s="299"/>
    </row>
    <row r="59" ht="15.0" customHeight="1">
      <c r="B59" s="67"/>
      <c r="C59" s="6"/>
      <c r="D59" s="325" t="s">
        <v>559</v>
      </c>
      <c r="E59" s="177" t="s">
        <v>560</v>
      </c>
      <c r="F59" s="297" t="s">
        <v>11</v>
      </c>
      <c r="G59" s="299"/>
    </row>
    <row r="60" ht="15.0" customHeight="1">
      <c r="B60" s="67"/>
      <c r="C60" s="6"/>
      <c r="D60" s="325" t="s">
        <v>561</v>
      </c>
      <c r="E60" s="177" t="s">
        <v>563</v>
      </c>
      <c r="F60" s="297" t="s">
        <v>11</v>
      </c>
      <c r="G60" s="299"/>
    </row>
    <row r="61" ht="15.0" customHeight="1">
      <c r="B61" s="67"/>
      <c r="C61" s="6"/>
      <c r="D61" s="325" t="s">
        <v>565</v>
      </c>
      <c r="E61" s="177" t="s">
        <v>566</v>
      </c>
      <c r="F61" s="297" t="s">
        <v>11</v>
      </c>
      <c r="G61" s="194"/>
    </row>
    <row r="62" ht="15.0" customHeight="1">
      <c r="B62" s="67"/>
      <c r="C62" s="6"/>
      <c r="D62" s="325" t="s">
        <v>490</v>
      </c>
      <c r="E62" s="177" t="s">
        <v>568</v>
      </c>
      <c r="F62" s="297" t="s">
        <v>11</v>
      </c>
      <c r="G62" s="299"/>
    </row>
    <row r="63" ht="15.0" customHeight="1">
      <c r="B63" s="67"/>
      <c r="C63" s="6"/>
      <c r="D63" s="325" t="s">
        <v>571</v>
      </c>
      <c r="E63" s="177" t="s">
        <v>572</v>
      </c>
      <c r="F63" s="297" t="s">
        <v>11</v>
      </c>
      <c r="G63" s="299"/>
    </row>
    <row r="64" ht="15.0" customHeight="1">
      <c r="B64" s="67"/>
      <c r="C64" s="6"/>
      <c r="D64" s="325" t="s">
        <v>574</v>
      </c>
      <c r="E64" s="177" t="s">
        <v>575</v>
      </c>
      <c r="F64" s="297" t="s">
        <v>11</v>
      </c>
      <c r="G64" s="299"/>
    </row>
    <row r="65" ht="15.0" customHeight="1">
      <c r="B65" s="67"/>
      <c r="C65" s="6"/>
      <c r="D65" s="325" t="s">
        <v>577</v>
      </c>
      <c r="E65" s="177" t="s">
        <v>578</v>
      </c>
      <c r="F65" s="297" t="s">
        <v>11</v>
      </c>
      <c r="G65" s="299"/>
    </row>
    <row r="66" ht="15.0" customHeight="1">
      <c r="B66" s="67"/>
      <c r="C66" s="6"/>
      <c r="D66" s="119" t="s">
        <v>86</v>
      </c>
      <c r="E66" s="221"/>
      <c r="F66" s="297" t="s">
        <v>11</v>
      </c>
      <c r="G66" s="321"/>
    </row>
    <row r="67" ht="15.0" customHeight="1">
      <c r="B67" s="67"/>
      <c r="C67" s="6"/>
      <c r="F67" s="297" t="s">
        <v>11</v>
      </c>
      <c r="G67" s="5"/>
    </row>
    <row r="68" ht="15.0" customHeight="1">
      <c r="B68" s="67"/>
      <c r="C68" s="6"/>
      <c r="D68" s="61" t="s">
        <v>589</v>
      </c>
      <c r="E68" s="179"/>
      <c r="F68" s="297" t="s">
        <v>11</v>
      </c>
      <c r="G68" s="66"/>
    </row>
    <row r="69" ht="46.5" customHeight="1">
      <c r="B69" s="67"/>
      <c r="C69" s="6"/>
      <c r="D69" s="337" t="s">
        <v>596</v>
      </c>
      <c r="E69" s="118" t="s">
        <v>597</v>
      </c>
      <c r="F69" s="297" t="s">
        <v>11</v>
      </c>
      <c r="G69" s="76"/>
    </row>
    <row r="70" ht="15.0" customHeight="1">
      <c r="B70" s="67"/>
      <c r="C70" s="6"/>
      <c r="D70" s="115" t="s">
        <v>600</v>
      </c>
      <c r="E70" s="118" t="s">
        <v>601</v>
      </c>
      <c r="F70" s="297" t="s">
        <v>11</v>
      </c>
      <c r="G70" s="76"/>
    </row>
    <row r="71" ht="15.0" customHeight="1">
      <c r="B71" s="67"/>
      <c r="C71" s="6"/>
      <c r="D71" s="119" t="s">
        <v>603</v>
      </c>
      <c r="E71" s="221"/>
      <c r="F71" s="297" t="s">
        <v>11</v>
      </c>
      <c r="G71" s="102"/>
    </row>
    <row r="72" ht="15.0" customHeight="1">
      <c r="B72" s="67"/>
      <c r="C72" s="6"/>
      <c r="D72" s="104"/>
      <c r="E72" s="105"/>
      <c r="F72" s="297" t="s">
        <v>11</v>
      </c>
      <c r="G72" s="188"/>
    </row>
    <row r="73" ht="15.0" customHeight="1">
      <c r="B73" s="67"/>
      <c r="C73" s="6"/>
      <c r="D73" s="61" t="s">
        <v>615</v>
      </c>
      <c r="E73" s="179"/>
      <c r="F73" s="297" t="s">
        <v>11</v>
      </c>
      <c r="G73" s="66"/>
    </row>
    <row r="74" ht="29.25" customHeight="1">
      <c r="B74" s="67"/>
      <c r="C74" s="6"/>
      <c r="D74" s="115" t="s">
        <v>535</v>
      </c>
      <c r="E74" s="118" t="s">
        <v>597</v>
      </c>
      <c r="F74" s="297" t="s">
        <v>11</v>
      </c>
      <c r="G74" s="76"/>
    </row>
    <row r="75" ht="29.25" customHeight="1">
      <c r="B75" s="67"/>
      <c r="C75" s="6"/>
      <c r="D75" s="115" t="s">
        <v>622</v>
      </c>
      <c r="E75" s="118" t="s">
        <v>601</v>
      </c>
      <c r="F75" s="297" t="s">
        <v>11</v>
      </c>
      <c r="G75" s="76"/>
    </row>
    <row r="76" ht="32.25" customHeight="1">
      <c r="B76" s="67"/>
      <c r="C76" s="6"/>
      <c r="D76" s="115" t="s">
        <v>627</v>
      </c>
      <c r="E76" s="118" t="s">
        <v>630</v>
      </c>
      <c r="F76" s="297" t="s">
        <v>11</v>
      </c>
      <c r="G76" s="76"/>
    </row>
    <row r="77" ht="24.75" customHeight="1">
      <c r="B77" s="67"/>
      <c r="C77" s="6"/>
      <c r="D77" s="115" t="s">
        <v>633</v>
      </c>
      <c r="E77" s="118" t="s">
        <v>634</v>
      </c>
      <c r="F77" s="297" t="s">
        <v>11</v>
      </c>
      <c r="G77" s="76"/>
    </row>
    <row r="78" ht="15.0" customHeight="1">
      <c r="B78" s="67"/>
      <c r="C78" s="6"/>
      <c r="D78" s="119" t="s">
        <v>86</v>
      </c>
      <c r="E78" s="221"/>
      <c r="F78" s="297" t="s">
        <v>11</v>
      </c>
      <c r="G78" s="102"/>
    </row>
    <row r="79" ht="15.0" customHeight="1">
      <c r="B79" s="67"/>
      <c r="C79" s="6"/>
      <c r="D79" s="104"/>
      <c r="E79" s="105"/>
      <c r="F79" s="297" t="s">
        <v>11</v>
      </c>
      <c r="G79" s="188"/>
    </row>
    <row r="80" ht="15.0" customHeight="1">
      <c r="B80" s="67"/>
      <c r="C80" s="6"/>
      <c r="D80" s="61" t="s">
        <v>643</v>
      </c>
      <c r="E80" s="295"/>
      <c r="F80" s="297" t="s">
        <v>11</v>
      </c>
      <c r="G80" s="346"/>
    </row>
    <row r="81" ht="15.0" customHeight="1">
      <c r="B81" s="67"/>
      <c r="C81" s="6"/>
      <c r="D81" s="172" t="s">
        <v>535</v>
      </c>
      <c r="E81" s="173" t="s">
        <v>597</v>
      </c>
      <c r="F81" s="297" t="s">
        <v>11</v>
      </c>
      <c r="G81" s="194"/>
    </row>
    <row r="82" ht="15.0" customHeight="1">
      <c r="B82" s="67"/>
      <c r="C82" s="6"/>
      <c r="D82" s="172" t="s">
        <v>622</v>
      </c>
      <c r="E82" s="173" t="s">
        <v>601</v>
      </c>
      <c r="F82" s="297" t="s">
        <v>11</v>
      </c>
      <c r="G82" s="299"/>
    </row>
    <row r="83" ht="15.0" customHeight="1">
      <c r="B83" s="67"/>
      <c r="C83" s="6"/>
      <c r="D83" s="172" t="s">
        <v>627</v>
      </c>
      <c r="E83" s="173" t="s">
        <v>630</v>
      </c>
      <c r="F83" s="297" t="s">
        <v>11</v>
      </c>
      <c r="G83" s="299"/>
    </row>
    <row r="84" ht="15.0" customHeight="1">
      <c r="B84" s="67"/>
      <c r="C84" s="6"/>
      <c r="D84" s="172" t="s">
        <v>657</v>
      </c>
      <c r="E84" s="173" t="s">
        <v>658</v>
      </c>
      <c r="F84" s="297" t="s">
        <v>11</v>
      </c>
      <c r="G84" s="299"/>
    </row>
    <row r="85" ht="15.0" customHeight="1">
      <c r="B85" s="67"/>
      <c r="C85" s="6"/>
      <c r="D85" s="172" t="s">
        <v>663</v>
      </c>
      <c r="E85" s="173" t="s">
        <v>664</v>
      </c>
      <c r="F85" s="297" t="s">
        <v>11</v>
      </c>
      <c r="G85" s="299"/>
    </row>
    <row r="86" ht="15.0" customHeight="1">
      <c r="B86" s="67"/>
      <c r="C86" s="6"/>
      <c r="D86" s="307" t="s">
        <v>552</v>
      </c>
      <c r="E86" s="174" t="s">
        <v>553</v>
      </c>
      <c r="F86" s="297" t="s">
        <v>11</v>
      </c>
      <c r="G86" s="299"/>
    </row>
    <row r="87" ht="15.0" customHeight="1">
      <c r="B87" s="67"/>
      <c r="C87" s="6"/>
      <c r="D87" s="307" t="s">
        <v>554</v>
      </c>
      <c r="E87" s="174" t="s">
        <v>556</v>
      </c>
      <c r="F87" s="297" t="s">
        <v>11</v>
      </c>
      <c r="G87" s="299"/>
    </row>
    <row r="88" ht="15.0" customHeight="1">
      <c r="B88" s="67"/>
      <c r="C88" s="6"/>
      <c r="D88" s="307" t="s">
        <v>559</v>
      </c>
      <c r="E88" s="174" t="s">
        <v>560</v>
      </c>
      <c r="F88" s="297" t="s">
        <v>11</v>
      </c>
      <c r="G88" s="299"/>
    </row>
    <row r="89" ht="15.0" customHeight="1">
      <c r="B89" s="67"/>
      <c r="C89" s="6"/>
      <c r="D89" s="307" t="s">
        <v>561</v>
      </c>
      <c r="E89" s="174" t="s">
        <v>563</v>
      </c>
      <c r="F89" s="297" t="s">
        <v>11</v>
      </c>
      <c r="G89" s="299"/>
    </row>
    <row r="90" ht="15.0" customHeight="1">
      <c r="B90" s="67"/>
      <c r="C90" s="6"/>
      <c r="D90" s="307" t="s">
        <v>565</v>
      </c>
      <c r="E90" s="174" t="s">
        <v>566</v>
      </c>
      <c r="F90" s="297" t="s">
        <v>11</v>
      </c>
      <c r="G90" s="299"/>
    </row>
    <row r="91" ht="15.0" customHeight="1">
      <c r="B91" s="67"/>
      <c r="C91" s="6"/>
      <c r="D91" s="307" t="s">
        <v>490</v>
      </c>
      <c r="E91" s="174" t="s">
        <v>568</v>
      </c>
      <c r="F91" s="297" t="s">
        <v>11</v>
      </c>
      <c r="G91" s="299"/>
    </row>
    <row r="92" ht="15.0" customHeight="1">
      <c r="B92" s="67"/>
      <c r="C92" s="6"/>
      <c r="D92" s="307" t="s">
        <v>571</v>
      </c>
      <c r="E92" s="174" t="s">
        <v>572</v>
      </c>
      <c r="F92" s="297" t="s">
        <v>11</v>
      </c>
      <c r="G92" s="299"/>
    </row>
    <row r="93" ht="15.0" customHeight="1">
      <c r="B93" s="67"/>
      <c r="C93" s="6"/>
      <c r="D93" s="307" t="s">
        <v>574</v>
      </c>
      <c r="E93" s="174" t="s">
        <v>575</v>
      </c>
      <c r="F93" s="297" t="s">
        <v>11</v>
      </c>
      <c r="G93" s="299"/>
    </row>
    <row r="94" ht="15.0" customHeight="1">
      <c r="B94" s="67"/>
      <c r="C94" s="6"/>
      <c r="D94" s="307" t="s">
        <v>577</v>
      </c>
      <c r="E94" s="174" t="s">
        <v>578</v>
      </c>
      <c r="F94" s="297" t="s">
        <v>11</v>
      </c>
      <c r="G94" s="194"/>
    </row>
    <row r="95" ht="15.0" customHeight="1">
      <c r="B95" s="67"/>
      <c r="C95" s="6"/>
      <c r="D95" s="172" t="s">
        <v>674</v>
      </c>
      <c r="E95" s="173" t="s">
        <v>675</v>
      </c>
      <c r="F95" s="297" t="s">
        <v>11</v>
      </c>
      <c r="G95" s="299"/>
    </row>
    <row r="96" ht="15.0" customHeight="1">
      <c r="B96" s="67"/>
      <c r="C96" s="6"/>
      <c r="D96" s="347" t="s">
        <v>86</v>
      </c>
      <c r="E96" s="358"/>
      <c r="F96" s="297" t="s">
        <v>11</v>
      </c>
      <c r="G96" s="321"/>
    </row>
    <row r="97" ht="15.0" customHeight="1">
      <c r="B97" s="67"/>
      <c r="C97" s="6"/>
      <c r="D97" s="350"/>
      <c r="E97" s="350"/>
      <c r="F97" s="297" t="s">
        <v>11</v>
      </c>
      <c r="G97" s="361"/>
    </row>
    <row r="98" ht="15.0" customHeight="1">
      <c r="B98" s="67"/>
      <c r="C98" s="6"/>
      <c r="D98" s="362" t="s">
        <v>684</v>
      </c>
      <c r="E98" s="363"/>
      <c r="F98" s="297" t="s">
        <v>11</v>
      </c>
      <c r="G98" s="346"/>
    </row>
    <row r="99" ht="15.0" customHeight="1">
      <c r="B99" s="67"/>
      <c r="C99" s="6"/>
      <c r="D99" s="115" t="s">
        <v>535</v>
      </c>
      <c r="E99" s="118" t="s">
        <v>597</v>
      </c>
      <c r="F99" s="297" t="s">
        <v>11</v>
      </c>
      <c r="G99" s="299"/>
    </row>
    <row r="100" ht="15.0" customHeight="1">
      <c r="B100" s="67"/>
      <c r="C100" s="6"/>
      <c r="D100" s="115" t="s">
        <v>622</v>
      </c>
      <c r="E100" s="118" t="s">
        <v>601</v>
      </c>
      <c r="F100" s="297" t="s">
        <v>11</v>
      </c>
      <c r="G100" s="299"/>
    </row>
    <row r="101" ht="15.0" customHeight="1">
      <c r="B101" s="67"/>
      <c r="C101" s="6"/>
      <c r="D101" s="115" t="s">
        <v>627</v>
      </c>
      <c r="E101" s="118" t="s">
        <v>630</v>
      </c>
      <c r="F101" s="297" t="s">
        <v>11</v>
      </c>
      <c r="G101" s="299"/>
    </row>
    <row r="102" ht="15.0" customHeight="1">
      <c r="B102" s="67"/>
      <c r="C102" s="6"/>
      <c r="D102" s="325" t="s">
        <v>688</v>
      </c>
      <c r="E102" s="177" t="s">
        <v>689</v>
      </c>
      <c r="F102" s="297" t="s">
        <v>11</v>
      </c>
      <c r="G102" s="299"/>
    </row>
    <row r="103" ht="15.0" customHeight="1">
      <c r="B103" s="67"/>
      <c r="C103" s="6"/>
      <c r="D103" s="365" t="s">
        <v>86</v>
      </c>
      <c r="E103" s="366"/>
      <c r="F103" s="297" t="s">
        <v>11</v>
      </c>
      <c r="G103" s="321"/>
    </row>
    <row r="104" ht="15.0" customHeight="1">
      <c r="B104" s="67"/>
      <c r="C104" s="6"/>
      <c r="D104" s="368"/>
      <c r="E104" s="370"/>
      <c r="F104" s="297" t="s">
        <v>11</v>
      </c>
      <c r="G104" s="372"/>
    </row>
    <row r="105" ht="15.0" customHeight="1">
      <c r="B105" s="67"/>
      <c r="C105" s="6"/>
      <c r="D105" s="362" t="s">
        <v>692</v>
      </c>
      <c r="E105" s="363"/>
      <c r="F105" s="297" t="s">
        <v>11</v>
      </c>
      <c r="G105" s="346"/>
    </row>
    <row r="106" ht="15.0" customHeight="1">
      <c r="B106" s="67"/>
      <c r="C106" s="6"/>
      <c r="D106" s="325" t="s">
        <v>535</v>
      </c>
      <c r="E106" s="177" t="s">
        <v>539</v>
      </c>
      <c r="F106" s="297" t="s">
        <v>11</v>
      </c>
      <c r="G106" s="299"/>
    </row>
    <row r="107" ht="15.0" customHeight="1">
      <c r="B107" s="67"/>
      <c r="C107" s="6"/>
      <c r="D107" s="325" t="s">
        <v>622</v>
      </c>
      <c r="E107" s="177" t="s">
        <v>601</v>
      </c>
      <c r="F107" s="297" t="s">
        <v>11</v>
      </c>
      <c r="G107" s="299"/>
    </row>
    <row r="108" ht="15.0" customHeight="1">
      <c r="B108" s="67"/>
      <c r="C108" s="6"/>
      <c r="D108" s="325" t="s">
        <v>693</v>
      </c>
      <c r="E108" s="177" t="s">
        <v>694</v>
      </c>
      <c r="F108" s="297" t="s">
        <v>11</v>
      </c>
      <c r="G108" s="299"/>
    </row>
    <row r="109" ht="15.0" customHeight="1">
      <c r="B109" s="67"/>
      <c r="C109" s="6"/>
      <c r="D109" s="374" t="s">
        <v>86</v>
      </c>
      <c r="E109" s="375"/>
      <c r="F109" s="297" t="s">
        <v>11</v>
      </c>
      <c r="G109" s="102"/>
    </row>
    <row r="110" ht="15.0" customHeight="1">
      <c r="B110" s="67"/>
      <c r="C110" s="6"/>
      <c r="D110" s="376"/>
      <c r="E110" s="377"/>
      <c r="F110" s="297" t="s">
        <v>11</v>
      </c>
      <c r="G110" s="361"/>
    </row>
    <row r="111" ht="15.0" customHeight="1">
      <c r="B111" s="67"/>
      <c r="C111" s="6"/>
      <c r="D111" s="378"/>
      <c r="E111" s="379"/>
      <c r="F111" s="297" t="s">
        <v>11</v>
      </c>
      <c r="G111" s="380"/>
    </row>
    <row r="112" ht="15.0" customHeight="1">
      <c r="B112" s="67"/>
      <c r="C112" s="6"/>
      <c r="D112" s="362" t="s">
        <v>701</v>
      </c>
      <c r="E112" s="363"/>
      <c r="F112" s="297" t="s">
        <v>11</v>
      </c>
      <c r="G112" s="346"/>
    </row>
    <row r="113" ht="15.0" customHeight="1">
      <c r="B113" s="67"/>
      <c r="C113" s="6"/>
      <c r="D113" s="325" t="s">
        <v>535</v>
      </c>
      <c r="E113" s="177" t="s">
        <v>539</v>
      </c>
      <c r="F113" s="297" t="s">
        <v>11</v>
      </c>
      <c r="G113" s="299"/>
    </row>
    <row r="114" ht="15.0" customHeight="1">
      <c r="B114" s="67"/>
      <c r="C114" s="6"/>
      <c r="D114" s="325" t="s">
        <v>622</v>
      </c>
      <c r="E114" s="177" t="s">
        <v>601</v>
      </c>
      <c r="F114" s="297" t="s">
        <v>11</v>
      </c>
      <c r="G114" s="299"/>
    </row>
    <row r="115" ht="15.0" customHeight="1">
      <c r="B115" s="67"/>
      <c r="C115" s="6"/>
      <c r="D115" s="325" t="s">
        <v>706</v>
      </c>
      <c r="E115" s="177" t="s">
        <v>707</v>
      </c>
      <c r="F115" s="297" t="s">
        <v>11</v>
      </c>
      <c r="G115" s="299"/>
    </row>
    <row r="116" ht="15.0" customHeight="1">
      <c r="B116" s="67"/>
      <c r="C116" s="6"/>
      <c r="D116" s="365" t="s">
        <v>86</v>
      </c>
      <c r="E116" s="366"/>
      <c r="F116" s="297" t="s">
        <v>11</v>
      </c>
      <c r="G116" s="321"/>
    </row>
    <row r="117" ht="15.0" customHeight="1">
      <c r="B117" s="67"/>
      <c r="C117" s="6"/>
      <c r="D117" s="368"/>
      <c r="E117" s="370"/>
      <c r="F117" s="297" t="s">
        <v>11</v>
      </c>
      <c r="G117" s="372"/>
    </row>
    <row r="118" ht="15.0" customHeight="1">
      <c r="B118" s="67"/>
      <c r="C118" s="6"/>
      <c r="D118" s="368"/>
      <c r="E118" s="370"/>
      <c r="F118" s="297" t="s">
        <v>11</v>
      </c>
      <c r="G118" s="372"/>
    </row>
    <row r="119" ht="15.0" customHeight="1">
      <c r="B119" s="67"/>
      <c r="C119" s="6"/>
      <c r="D119" s="362" t="s">
        <v>710</v>
      </c>
      <c r="E119" s="363"/>
      <c r="F119" s="297" t="s">
        <v>11</v>
      </c>
      <c r="G119" s="346"/>
    </row>
    <row r="120" ht="15.0" customHeight="1">
      <c r="B120" s="67"/>
      <c r="C120" s="6"/>
      <c r="D120" s="325" t="s">
        <v>535</v>
      </c>
      <c r="E120" s="177" t="s">
        <v>539</v>
      </c>
      <c r="F120" s="297" t="s">
        <v>11</v>
      </c>
      <c r="G120" s="299"/>
    </row>
    <row r="121" ht="15.0" customHeight="1">
      <c r="B121" s="67"/>
      <c r="C121" s="6"/>
      <c r="D121" s="325" t="s">
        <v>622</v>
      </c>
      <c r="E121" s="177" t="s">
        <v>601</v>
      </c>
      <c r="F121" s="297" t="s">
        <v>11</v>
      </c>
      <c r="G121" s="299"/>
    </row>
    <row r="122" ht="15.0" customHeight="1">
      <c r="B122" s="67"/>
      <c r="C122" s="6"/>
      <c r="D122" s="325" t="s">
        <v>711</v>
      </c>
      <c r="E122" s="177" t="s">
        <v>712</v>
      </c>
      <c r="F122" s="297" t="s">
        <v>11</v>
      </c>
      <c r="G122" s="299"/>
    </row>
    <row r="123" ht="15.0" customHeight="1">
      <c r="B123" s="67"/>
      <c r="C123" s="6"/>
      <c r="D123" s="365" t="s">
        <v>86</v>
      </c>
      <c r="E123" s="366"/>
      <c r="F123" s="297" t="s">
        <v>11</v>
      </c>
      <c r="G123" s="321"/>
    </row>
    <row r="124" ht="15.0" customHeight="1">
      <c r="B124" s="67"/>
      <c r="C124" s="6"/>
      <c r="D124" s="368"/>
      <c r="E124" s="370"/>
      <c r="F124" s="297" t="s">
        <v>11</v>
      </c>
      <c r="G124" s="205"/>
    </row>
    <row r="125" ht="15.0" customHeight="1">
      <c r="B125" s="67"/>
      <c r="C125" s="6"/>
      <c r="D125" s="368"/>
      <c r="E125" s="370"/>
      <c r="F125" s="297" t="s">
        <v>11</v>
      </c>
      <c r="G125" s="205"/>
    </row>
    <row r="126" ht="15.0" customHeight="1">
      <c r="B126" s="67"/>
      <c r="C126" s="6"/>
      <c r="D126" s="368"/>
      <c r="E126" s="370"/>
      <c r="F126" s="297" t="s">
        <v>11</v>
      </c>
      <c r="G126" s="205"/>
    </row>
    <row r="127" ht="15.0" customHeight="1">
      <c r="B127" s="67"/>
      <c r="C127" s="6"/>
      <c r="D127" s="362" t="s">
        <v>715</v>
      </c>
      <c r="E127" s="363"/>
      <c r="F127" s="297" t="s">
        <v>11</v>
      </c>
      <c r="G127" s="346"/>
    </row>
    <row r="128" ht="15.0" customHeight="1">
      <c r="B128" s="67"/>
      <c r="C128" s="6"/>
      <c r="D128" s="325" t="s">
        <v>535</v>
      </c>
      <c r="E128" s="177" t="s">
        <v>539</v>
      </c>
      <c r="F128" s="297" t="s">
        <v>11</v>
      </c>
      <c r="G128" s="194"/>
    </row>
    <row r="129" ht="15.0" customHeight="1">
      <c r="B129" s="67"/>
      <c r="C129" s="6"/>
      <c r="D129" s="325" t="s">
        <v>622</v>
      </c>
      <c r="E129" s="177" t="s">
        <v>601</v>
      </c>
      <c r="F129" s="297" t="s">
        <v>11</v>
      </c>
      <c r="G129" s="299"/>
    </row>
    <row r="130" ht="15.0" customHeight="1">
      <c r="B130" s="67"/>
      <c r="C130" s="6"/>
      <c r="D130" s="325" t="s">
        <v>720</v>
      </c>
      <c r="E130" s="177" t="s">
        <v>721</v>
      </c>
      <c r="F130" s="297" t="s">
        <v>11</v>
      </c>
      <c r="G130" s="299"/>
    </row>
    <row r="131" ht="15.0" customHeight="1">
      <c r="B131" s="67"/>
      <c r="C131" s="6"/>
      <c r="D131" s="325" t="s">
        <v>722</v>
      </c>
      <c r="E131" s="177" t="s">
        <v>723</v>
      </c>
      <c r="F131" s="297" t="s">
        <v>11</v>
      </c>
      <c r="G131" s="299"/>
    </row>
    <row r="132" ht="15.0" customHeight="1">
      <c r="B132" s="67"/>
      <c r="C132" s="6"/>
      <c r="D132" s="325" t="s">
        <v>726</v>
      </c>
      <c r="E132" s="177" t="s">
        <v>727</v>
      </c>
      <c r="F132" s="297" t="s">
        <v>11</v>
      </c>
      <c r="G132" s="299"/>
    </row>
    <row r="133" ht="15.0" customHeight="1">
      <c r="B133" s="67"/>
      <c r="C133" s="6"/>
      <c r="D133" s="325" t="s">
        <v>728</v>
      </c>
      <c r="E133" s="177" t="s">
        <v>730</v>
      </c>
      <c r="F133" s="297" t="s">
        <v>11</v>
      </c>
      <c r="G133" s="299"/>
    </row>
    <row r="134" ht="15.0" customHeight="1">
      <c r="B134" s="67"/>
      <c r="C134" s="6"/>
      <c r="D134" s="325" t="s">
        <v>732</v>
      </c>
      <c r="E134" s="177" t="s">
        <v>733</v>
      </c>
      <c r="F134" s="297" t="s">
        <v>11</v>
      </c>
      <c r="G134" s="299"/>
    </row>
    <row r="135" ht="15.0" customHeight="1">
      <c r="B135" s="67"/>
      <c r="C135" s="6"/>
      <c r="D135" s="325" t="s">
        <v>736</v>
      </c>
      <c r="E135" s="177" t="s">
        <v>737</v>
      </c>
      <c r="F135" s="297" t="s">
        <v>11</v>
      </c>
      <c r="G135" s="299"/>
    </row>
    <row r="136" ht="15.0" customHeight="1">
      <c r="B136" s="67"/>
      <c r="C136" s="6"/>
      <c r="D136" s="325" t="s">
        <v>738</v>
      </c>
      <c r="E136" s="177" t="s">
        <v>740</v>
      </c>
      <c r="F136" s="297" t="s">
        <v>11</v>
      </c>
      <c r="G136" s="299"/>
    </row>
    <row r="137" ht="15.0" customHeight="1">
      <c r="B137" s="67"/>
      <c r="C137" s="6"/>
      <c r="D137" s="365" t="s">
        <v>86</v>
      </c>
      <c r="E137" s="366"/>
      <c r="F137" s="297" t="s">
        <v>11</v>
      </c>
      <c r="G137" s="321"/>
    </row>
    <row r="138" ht="15.0" customHeight="1">
      <c r="B138" s="67"/>
      <c r="C138" s="6"/>
      <c r="D138" s="383"/>
      <c r="E138" s="383"/>
      <c r="F138" s="297" t="s">
        <v>11</v>
      </c>
      <c r="G138" s="384"/>
    </row>
    <row r="139" ht="15.0" customHeight="1">
      <c r="B139" s="67"/>
      <c r="C139" s="6"/>
      <c r="D139" s="385"/>
      <c r="E139" s="383"/>
      <c r="F139" s="297" t="s">
        <v>11</v>
      </c>
      <c r="G139" s="384"/>
    </row>
    <row r="140" ht="15.0" customHeight="1">
      <c r="B140" s="67"/>
      <c r="C140" s="6"/>
      <c r="D140" s="385"/>
      <c r="E140" s="385"/>
      <c r="F140" s="297" t="s">
        <v>11</v>
      </c>
      <c r="G140" s="386"/>
    </row>
    <row r="141" ht="15.0" customHeight="1">
      <c r="B141" s="67"/>
      <c r="C141" s="6"/>
      <c r="D141" s="362" t="s">
        <v>751</v>
      </c>
      <c r="E141" s="363"/>
      <c r="F141" s="297" t="s">
        <v>11</v>
      </c>
      <c r="G141" s="346"/>
    </row>
    <row r="142" ht="15.0" customHeight="1">
      <c r="B142" s="67"/>
      <c r="C142" s="6"/>
      <c r="D142" s="307" t="s">
        <v>535</v>
      </c>
      <c r="E142" s="174" t="s">
        <v>539</v>
      </c>
      <c r="F142" s="297" t="s">
        <v>11</v>
      </c>
      <c r="G142" s="299"/>
    </row>
    <row r="143" ht="15.0" customHeight="1">
      <c r="B143" s="67"/>
      <c r="C143" s="6"/>
      <c r="D143" s="307" t="s">
        <v>622</v>
      </c>
      <c r="E143" s="174" t="s">
        <v>754</v>
      </c>
      <c r="F143" s="297" t="s">
        <v>11</v>
      </c>
      <c r="G143" s="194"/>
    </row>
    <row r="144" ht="15.0" customHeight="1">
      <c r="B144" s="67"/>
      <c r="C144" s="6"/>
      <c r="D144" s="307" t="s">
        <v>755</v>
      </c>
      <c r="E144" s="174" t="s">
        <v>756</v>
      </c>
      <c r="F144" s="297" t="s">
        <v>11</v>
      </c>
      <c r="G144" s="299"/>
    </row>
    <row r="145" ht="15.0" customHeight="1">
      <c r="B145" s="67"/>
      <c r="C145" s="6"/>
      <c r="D145" s="307" t="s">
        <v>722</v>
      </c>
      <c r="E145" s="174" t="s">
        <v>757</v>
      </c>
      <c r="F145" s="297" t="s">
        <v>11</v>
      </c>
      <c r="G145" s="299"/>
    </row>
    <row r="146" ht="15.0" customHeight="1">
      <c r="B146" s="67"/>
      <c r="C146" s="6"/>
      <c r="D146" s="307" t="s">
        <v>758</v>
      </c>
      <c r="E146" s="174" t="s">
        <v>759</v>
      </c>
      <c r="F146" s="297" t="s">
        <v>11</v>
      </c>
      <c r="G146" s="299"/>
    </row>
    <row r="147" ht="15.0" customHeight="1">
      <c r="B147" s="67"/>
      <c r="C147" s="6"/>
      <c r="D147" s="307" t="s">
        <v>760</v>
      </c>
      <c r="E147" s="174" t="s">
        <v>761</v>
      </c>
      <c r="F147" s="297" t="s">
        <v>11</v>
      </c>
      <c r="G147" s="299"/>
    </row>
    <row r="148" ht="15.0" customHeight="1">
      <c r="B148" s="67"/>
      <c r="C148" s="6"/>
      <c r="D148" s="307" t="s">
        <v>763</v>
      </c>
      <c r="E148" s="174" t="s">
        <v>764</v>
      </c>
      <c r="F148" s="297" t="s">
        <v>11</v>
      </c>
      <c r="G148" s="299"/>
    </row>
    <row r="149" ht="15.0" customHeight="1">
      <c r="B149" s="67"/>
      <c r="C149" s="6"/>
      <c r="D149" s="307" t="s">
        <v>732</v>
      </c>
      <c r="E149" s="174" t="s">
        <v>766</v>
      </c>
      <c r="F149" s="297" t="s">
        <v>11</v>
      </c>
      <c r="G149" s="299"/>
    </row>
    <row r="150" ht="15.0" customHeight="1">
      <c r="B150" s="67"/>
      <c r="C150" s="6"/>
      <c r="D150" s="307" t="s">
        <v>736</v>
      </c>
      <c r="E150" s="174" t="s">
        <v>737</v>
      </c>
      <c r="F150" s="297" t="s">
        <v>11</v>
      </c>
      <c r="G150" s="299"/>
    </row>
    <row r="151" ht="15.0" customHeight="1">
      <c r="B151" s="67"/>
      <c r="C151" s="6"/>
      <c r="D151" s="307" t="s">
        <v>738</v>
      </c>
      <c r="E151" s="174" t="s">
        <v>740</v>
      </c>
      <c r="F151" s="297" t="s">
        <v>11</v>
      </c>
      <c r="G151" s="299"/>
    </row>
    <row r="152" ht="15.0" customHeight="1">
      <c r="B152" s="67"/>
      <c r="C152" s="6"/>
      <c r="D152" s="374" t="s">
        <v>86</v>
      </c>
      <c r="E152" s="387"/>
      <c r="F152" s="297" t="s">
        <v>11</v>
      </c>
      <c r="G152" s="321"/>
    </row>
    <row r="153" ht="15.0" customHeight="1">
      <c r="B153" s="67"/>
      <c r="C153" s="6"/>
      <c r="D153" s="376"/>
      <c r="E153" s="388"/>
      <c r="F153" s="297" t="s">
        <v>11</v>
      </c>
      <c r="G153" s="205"/>
    </row>
    <row r="154" ht="15.0" customHeight="1">
      <c r="B154" s="67"/>
      <c r="C154" s="6"/>
      <c r="D154" s="376"/>
      <c r="E154" s="388"/>
      <c r="F154" s="297" t="s">
        <v>11</v>
      </c>
      <c r="G154" s="205"/>
    </row>
    <row r="155" ht="15.0" customHeight="1">
      <c r="B155" s="67"/>
      <c r="C155" s="6"/>
      <c r="D155" s="376"/>
      <c r="E155" s="388"/>
      <c r="F155" s="297" t="s">
        <v>11</v>
      </c>
      <c r="G155" s="205"/>
    </row>
    <row r="156" ht="15.0" customHeight="1">
      <c r="B156" s="67"/>
      <c r="C156" s="6"/>
      <c r="D156" s="362" t="s">
        <v>768</v>
      </c>
      <c r="E156" s="363"/>
      <c r="F156" s="297" t="s">
        <v>11</v>
      </c>
      <c r="G156" s="346"/>
    </row>
    <row r="157" ht="15.0" customHeight="1">
      <c r="B157" s="67"/>
      <c r="C157" s="6"/>
      <c r="D157" s="325" t="s">
        <v>535</v>
      </c>
      <c r="E157" s="177" t="s">
        <v>539</v>
      </c>
      <c r="F157" s="297" t="s">
        <v>11</v>
      </c>
      <c r="G157" s="194"/>
    </row>
    <row r="158" ht="15.0" customHeight="1">
      <c r="B158" s="67"/>
      <c r="C158" s="6"/>
      <c r="D158" s="325" t="s">
        <v>622</v>
      </c>
      <c r="E158" s="177" t="s">
        <v>754</v>
      </c>
      <c r="F158" s="297" t="s">
        <v>11</v>
      </c>
      <c r="G158" s="299"/>
    </row>
    <row r="159" ht="15.0" customHeight="1">
      <c r="B159" s="67"/>
      <c r="C159" s="6"/>
      <c r="D159" s="325" t="s">
        <v>711</v>
      </c>
      <c r="E159" s="177" t="s">
        <v>769</v>
      </c>
      <c r="F159" s="297" t="s">
        <v>11</v>
      </c>
      <c r="G159" s="299"/>
    </row>
    <row r="160" ht="15.0" customHeight="1">
      <c r="B160" s="67"/>
      <c r="C160" s="6"/>
      <c r="D160" s="325" t="s">
        <v>722</v>
      </c>
      <c r="E160" s="177" t="s">
        <v>770</v>
      </c>
      <c r="F160" s="297" t="s">
        <v>11</v>
      </c>
      <c r="G160" s="299"/>
    </row>
    <row r="161" ht="15.0" customHeight="1">
      <c r="B161" s="67"/>
      <c r="C161" s="6"/>
      <c r="D161" s="325" t="s">
        <v>726</v>
      </c>
      <c r="E161" s="177" t="s">
        <v>759</v>
      </c>
      <c r="F161" s="297" t="s">
        <v>11</v>
      </c>
      <c r="G161" s="299"/>
    </row>
    <row r="162" ht="15.0" customHeight="1">
      <c r="B162" s="67"/>
      <c r="C162" s="6"/>
      <c r="D162" s="325" t="s">
        <v>763</v>
      </c>
      <c r="E162" s="177" t="s">
        <v>764</v>
      </c>
      <c r="F162" s="297" t="s">
        <v>11</v>
      </c>
      <c r="G162" s="299"/>
    </row>
    <row r="163" ht="15.0" customHeight="1">
      <c r="B163" s="67"/>
      <c r="C163" s="6"/>
      <c r="D163" s="325" t="s">
        <v>732</v>
      </c>
      <c r="E163" s="177" t="s">
        <v>771</v>
      </c>
      <c r="F163" s="297" t="s">
        <v>11</v>
      </c>
      <c r="G163" s="299"/>
    </row>
    <row r="164" ht="15.0" customHeight="1">
      <c r="B164" s="67"/>
      <c r="C164" s="6"/>
      <c r="D164" s="325" t="s">
        <v>736</v>
      </c>
      <c r="E164" s="177" t="s">
        <v>737</v>
      </c>
      <c r="F164" s="297" t="s">
        <v>11</v>
      </c>
      <c r="G164" s="299"/>
    </row>
    <row r="165" ht="15.0" customHeight="1">
      <c r="B165" s="67"/>
      <c r="C165" s="6"/>
      <c r="D165" s="325" t="s">
        <v>738</v>
      </c>
      <c r="E165" s="177" t="s">
        <v>772</v>
      </c>
      <c r="F165" s="297" t="s">
        <v>11</v>
      </c>
      <c r="G165" s="299"/>
    </row>
    <row r="166" ht="15.0" customHeight="1">
      <c r="B166" s="67"/>
      <c r="C166" s="6"/>
      <c r="D166" s="365" t="s">
        <v>86</v>
      </c>
      <c r="E166" s="366"/>
      <c r="F166" s="297" t="s">
        <v>11</v>
      </c>
      <c r="G166" s="321"/>
    </row>
    <row r="167" ht="15.0" customHeight="1">
      <c r="B167" s="67"/>
      <c r="C167" s="6"/>
      <c r="D167" s="368"/>
      <c r="E167" s="370"/>
      <c r="F167" s="297" t="s">
        <v>11</v>
      </c>
      <c r="G167" s="372"/>
    </row>
    <row r="168" ht="15.0" customHeight="1">
      <c r="B168" s="67"/>
      <c r="C168" s="6"/>
      <c r="D168" s="368"/>
      <c r="E168" s="370"/>
      <c r="F168" s="297" t="s">
        <v>11</v>
      </c>
      <c r="G168" s="372"/>
    </row>
    <row r="169" ht="15.0" customHeight="1">
      <c r="B169" s="67"/>
      <c r="C169" s="6"/>
      <c r="D169" s="368"/>
      <c r="E169" s="370"/>
      <c r="F169" s="297" t="s">
        <v>11</v>
      </c>
      <c r="G169" s="372"/>
    </row>
    <row r="170" ht="15.0" customHeight="1">
      <c r="B170" s="67"/>
      <c r="C170" s="6"/>
      <c r="D170" s="362" t="s">
        <v>773</v>
      </c>
      <c r="E170" s="363"/>
      <c r="F170" s="297" t="s">
        <v>11</v>
      </c>
      <c r="G170" s="346"/>
    </row>
    <row r="171" ht="15.0" customHeight="1">
      <c r="B171" s="67"/>
      <c r="C171" s="6"/>
      <c r="D171" s="325" t="s">
        <v>535</v>
      </c>
      <c r="E171" s="177" t="s">
        <v>539</v>
      </c>
      <c r="F171" s="297" t="s">
        <v>11</v>
      </c>
      <c r="G171" s="299"/>
    </row>
    <row r="172" ht="15.0" customHeight="1">
      <c r="B172" s="67"/>
      <c r="C172" s="6"/>
      <c r="D172" s="325" t="s">
        <v>622</v>
      </c>
      <c r="E172" s="177" t="s">
        <v>754</v>
      </c>
      <c r="F172" s="297" t="s">
        <v>11</v>
      </c>
      <c r="G172" s="299"/>
    </row>
    <row r="173" ht="15.0" customHeight="1">
      <c r="B173" s="67"/>
      <c r="C173" s="6"/>
      <c r="D173" s="325" t="s">
        <v>706</v>
      </c>
      <c r="E173" s="177" t="s">
        <v>775</v>
      </c>
      <c r="F173" s="297" t="s">
        <v>11</v>
      </c>
      <c r="G173" s="299"/>
    </row>
    <row r="174" ht="15.0" customHeight="1">
      <c r="B174" s="67"/>
      <c r="C174" s="6"/>
      <c r="D174" s="325" t="s">
        <v>776</v>
      </c>
      <c r="E174" s="177" t="s">
        <v>777</v>
      </c>
      <c r="F174" s="297" t="s">
        <v>11</v>
      </c>
      <c r="G174" s="299"/>
    </row>
    <row r="175" ht="15.0" customHeight="1">
      <c r="B175" s="67"/>
      <c r="C175" s="6"/>
      <c r="D175" s="325" t="s">
        <v>778</v>
      </c>
      <c r="E175" s="177" t="s">
        <v>779</v>
      </c>
      <c r="F175" s="297" t="s">
        <v>11</v>
      </c>
      <c r="G175" s="299"/>
    </row>
    <row r="176" ht="15.0" customHeight="1">
      <c r="B176" s="67"/>
      <c r="C176" s="6"/>
      <c r="D176" s="325" t="s">
        <v>780</v>
      </c>
      <c r="E176" s="177" t="s">
        <v>782</v>
      </c>
      <c r="F176" s="297" t="s">
        <v>11</v>
      </c>
      <c r="G176" s="299"/>
    </row>
    <row r="177" ht="15.0" customHeight="1">
      <c r="B177" s="67"/>
      <c r="C177" s="6"/>
      <c r="D177" s="325" t="s">
        <v>784</v>
      </c>
      <c r="E177" s="177" t="s">
        <v>785</v>
      </c>
      <c r="F177" s="297" t="s">
        <v>11</v>
      </c>
      <c r="G177" s="299"/>
    </row>
    <row r="178" ht="15.0" customHeight="1">
      <c r="B178" s="67"/>
      <c r="C178" s="6"/>
      <c r="D178" s="325" t="s">
        <v>786</v>
      </c>
      <c r="E178" s="177" t="s">
        <v>787</v>
      </c>
      <c r="F178" s="297" t="s">
        <v>11</v>
      </c>
      <c r="G178" s="299"/>
    </row>
    <row r="179" ht="15.0" customHeight="1">
      <c r="B179" s="67"/>
      <c r="C179" s="6"/>
      <c r="D179" s="325" t="s">
        <v>788</v>
      </c>
      <c r="E179" s="177" t="s">
        <v>789</v>
      </c>
      <c r="F179" s="297" t="s">
        <v>11</v>
      </c>
      <c r="G179" s="299"/>
    </row>
    <row r="180" ht="15.0" customHeight="1">
      <c r="B180" s="67"/>
      <c r="C180" s="6"/>
      <c r="D180" s="325" t="s">
        <v>790</v>
      </c>
      <c r="E180" s="389" t="s">
        <v>791</v>
      </c>
      <c r="F180" s="297" t="s">
        <v>11</v>
      </c>
      <c r="G180" s="299"/>
    </row>
    <row r="181" ht="15.0" customHeight="1">
      <c r="B181" s="67"/>
      <c r="C181" s="6"/>
      <c r="D181" s="325" t="s">
        <v>732</v>
      </c>
      <c r="E181" s="177" t="s">
        <v>794</v>
      </c>
      <c r="F181" s="297" t="s">
        <v>11</v>
      </c>
      <c r="G181" s="299"/>
    </row>
    <row r="182" ht="15.0" customHeight="1">
      <c r="B182" s="67"/>
      <c r="C182" s="6"/>
      <c r="D182" s="325" t="s">
        <v>736</v>
      </c>
      <c r="E182" s="177" t="s">
        <v>737</v>
      </c>
      <c r="F182" s="297" t="s">
        <v>11</v>
      </c>
      <c r="G182" s="299"/>
    </row>
    <row r="183" ht="15.0" customHeight="1">
      <c r="B183" s="67"/>
      <c r="C183" s="6"/>
      <c r="D183" s="325" t="s">
        <v>738</v>
      </c>
      <c r="E183" s="177" t="s">
        <v>795</v>
      </c>
      <c r="F183" s="297" t="s">
        <v>11</v>
      </c>
      <c r="G183" s="299"/>
    </row>
    <row r="184" ht="15.0" customHeight="1">
      <c r="B184" s="67"/>
      <c r="C184" s="6"/>
      <c r="D184" s="325" t="s">
        <v>798</v>
      </c>
      <c r="E184" s="177" t="s">
        <v>799</v>
      </c>
      <c r="F184" s="297" t="s">
        <v>11</v>
      </c>
      <c r="G184" s="299"/>
    </row>
    <row r="185" ht="15.0" customHeight="1">
      <c r="B185" s="67"/>
      <c r="C185" s="6"/>
      <c r="D185" s="325" t="s">
        <v>738</v>
      </c>
      <c r="E185" s="177" t="s">
        <v>800</v>
      </c>
      <c r="F185" s="297" t="s">
        <v>11</v>
      </c>
      <c r="G185" s="299"/>
    </row>
    <row r="186" ht="15.0" customHeight="1">
      <c r="B186" s="67"/>
      <c r="C186" s="6"/>
      <c r="D186" s="325" t="s">
        <v>804</v>
      </c>
      <c r="E186" s="177" t="s">
        <v>805</v>
      </c>
      <c r="F186" s="297" t="s">
        <v>11</v>
      </c>
      <c r="G186" s="299"/>
    </row>
    <row r="187" ht="15.0" customHeight="1">
      <c r="B187" s="67"/>
      <c r="C187" s="6"/>
      <c r="D187" s="325" t="s">
        <v>806</v>
      </c>
      <c r="E187" s="177" t="s">
        <v>807</v>
      </c>
      <c r="F187" s="297" t="s">
        <v>11</v>
      </c>
      <c r="G187" s="299"/>
    </row>
    <row r="188" ht="15.0" customHeight="1">
      <c r="B188" s="67"/>
      <c r="C188" s="6"/>
      <c r="D188" s="374" t="s">
        <v>86</v>
      </c>
      <c r="E188" s="375"/>
      <c r="F188" s="297" t="s">
        <v>11</v>
      </c>
      <c r="G188" s="364"/>
    </row>
    <row r="189" ht="15.0" customHeight="1">
      <c r="B189" s="67"/>
      <c r="C189" s="6"/>
      <c r="D189" s="376"/>
      <c r="E189" s="377"/>
      <c r="F189" s="297" t="s">
        <v>11</v>
      </c>
      <c r="G189" s="360"/>
    </row>
    <row r="190" ht="15.0" customHeight="1">
      <c r="B190" s="67"/>
      <c r="C190" s="6"/>
      <c r="D190" s="378"/>
      <c r="E190" s="379"/>
      <c r="F190" s="297" t="s">
        <v>11</v>
      </c>
      <c r="G190" s="391"/>
    </row>
    <row r="191" ht="15.0" customHeight="1">
      <c r="B191" s="67"/>
      <c r="C191" s="6"/>
      <c r="D191" s="362" t="s">
        <v>810</v>
      </c>
      <c r="E191" s="363"/>
      <c r="F191" s="297" t="s">
        <v>11</v>
      </c>
      <c r="G191" s="346"/>
    </row>
    <row r="192" ht="15.0" customHeight="1">
      <c r="B192" s="67"/>
      <c r="C192" s="6"/>
      <c r="D192" s="325" t="s">
        <v>535</v>
      </c>
      <c r="E192" s="177" t="s">
        <v>539</v>
      </c>
      <c r="F192" s="297" t="s">
        <v>11</v>
      </c>
      <c r="G192" s="299"/>
    </row>
    <row r="193" ht="15.0" customHeight="1">
      <c r="B193" s="67"/>
      <c r="C193" s="6"/>
      <c r="D193" s="325" t="s">
        <v>622</v>
      </c>
      <c r="E193" s="177" t="s">
        <v>754</v>
      </c>
      <c r="F193" s="297" t="s">
        <v>11</v>
      </c>
      <c r="G193" s="299"/>
    </row>
    <row r="194" ht="15.0" customHeight="1">
      <c r="B194" s="67"/>
      <c r="C194" s="6"/>
      <c r="D194" s="325" t="s">
        <v>706</v>
      </c>
      <c r="E194" s="177" t="s">
        <v>775</v>
      </c>
      <c r="F194" s="297" t="s">
        <v>11</v>
      </c>
      <c r="G194" s="299"/>
    </row>
    <row r="195" ht="15.0" customHeight="1">
      <c r="B195" s="67"/>
      <c r="C195" s="6"/>
      <c r="D195" s="325" t="s">
        <v>776</v>
      </c>
      <c r="E195" s="177" t="s">
        <v>777</v>
      </c>
      <c r="F195" s="297" t="s">
        <v>11</v>
      </c>
      <c r="G195" s="299"/>
    </row>
    <row r="196" ht="15.0" customHeight="1">
      <c r="B196" s="67"/>
      <c r="C196" s="6"/>
      <c r="D196" s="325" t="s">
        <v>815</v>
      </c>
      <c r="E196" s="177" t="s">
        <v>816</v>
      </c>
      <c r="F196" s="297" t="s">
        <v>11</v>
      </c>
      <c r="G196" s="299"/>
    </row>
    <row r="197" ht="15.0" customHeight="1">
      <c r="B197" s="67"/>
      <c r="C197" s="6"/>
      <c r="D197" s="325" t="s">
        <v>817</v>
      </c>
      <c r="E197" s="177" t="s">
        <v>818</v>
      </c>
      <c r="F197" s="297" t="s">
        <v>11</v>
      </c>
      <c r="G197" s="299"/>
    </row>
    <row r="198" ht="15.0" customHeight="1">
      <c r="B198" s="67"/>
      <c r="C198" s="6"/>
      <c r="D198" s="325" t="s">
        <v>821</v>
      </c>
      <c r="E198" s="177" t="s">
        <v>822</v>
      </c>
      <c r="F198" s="297" t="s">
        <v>11</v>
      </c>
      <c r="G198" s="299"/>
    </row>
    <row r="199" ht="15.0" customHeight="1">
      <c r="B199" s="67"/>
      <c r="C199" s="6"/>
      <c r="D199" s="325" t="s">
        <v>824</v>
      </c>
      <c r="E199" s="177" t="s">
        <v>825</v>
      </c>
      <c r="F199" s="297" t="s">
        <v>11</v>
      </c>
      <c r="G199" s="299"/>
    </row>
    <row r="200" ht="15.0" customHeight="1">
      <c r="B200" s="67"/>
      <c r="C200" s="6"/>
      <c r="D200" s="325" t="s">
        <v>574</v>
      </c>
      <c r="E200" s="177" t="s">
        <v>826</v>
      </c>
      <c r="F200" s="297" t="s">
        <v>11</v>
      </c>
      <c r="G200" s="299"/>
    </row>
    <row r="201" ht="15.0" customHeight="1">
      <c r="B201" s="67"/>
      <c r="C201" s="6"/>
      <c r="D201" s="365" t="s">
        <v>86</v>
      </c>
      <c r="E201" s="366"/>
      <c r="F201" s="297" t="s">
        <v>11</v>
      </c>
      <c r="G201" s="321"/>
    </row>
    <row r="202" ht="15.0" customHeight="1">
      <c r="B202" s="67"/>
      <c r="C202" s="6"/>
      <c r="D202" s="377"/>
      <c r="E202" s="377"/>
      <c r="F202" s="297" t="s">
        <v>11</v>
      </c>
      <c r="G202" s="188"/>
    </row>
    <row r="203" ht="15.0" customHeight="1">
      <c r="B203" s="67"/>
      <c r="C203" s="6"/>
      <c r="D203" s="377"/>
      <c r="E203" s="377"/>
      <c r="F203" s="297" t="s">
        <v>11</v>
      </c>
      <c r="G203" s="188"/>
    </row>
    <row r="204" ht="15.0" customHeight="1">
      <c r="B204" s="67"/>
      <c r="C204" s="6"/>
      <c r="D204" s="111" t="s">
        <v>832</v>
      </c>
      <c r="E204" s="323"/>
      <c r="F204" s="297" t="s">
        <v>11</v>
      </c>
      <c r="G204" s="346"/>
    </row>
    <row r="205" ht="15.0" customHeight="1">
      <c r="B205" s="67"/>
      <c r="C205" s="6"/>
      <c r="D205" s="115" t="s">
        <v>344</v>
      </c>
      <c r="E205" s="118" t="s">
        <v>838</v>
      </c>
      <c r="F205" s="297" t="s">
        <v>11</v>
      </c>
      <c r="G205" s="299"/>
    </row>
    <row r="206" ht="15.0" customHeight="1">
      <c r="B206" s="67"/>
      <c r="C206" s="6"/>
      <c r="D206" s="115" t="s">
        <v>840</v>
      </c>
      <c r="E206" s="118" t="s">
        <v>842</v>
      </c>
      <c r="F206" s="297" t="s">
        <v>11</v>
      </c>
      <c r="G206" s="299"/>
    </row>
    <row r="207" ht="15.0" customHeight="1">
      <c r="B207" s="67"/>
      <c r="C207" s="6"/>
      <c r="D207" s="341" t="s">
        <v>844</v>
      </c>
      <c r="E207" s="177"/>
      <c r="F207" s="297" t="s">
        <v>11</v>
      </c>
      <c r="G207" s="299"/>
    </row>
    <row r="208" ht="15.0" customHeight="1">
      <c r="B208" s="67"/>
      <c r="C208" s="6"/>
      <c r="D208" s="325" t="s">
        <v>847</v>
      </c>
      <c r="E208" s="177" t="s">
        <v>848</v>
      </c>
      <c r="F208" s="297" t="s">
        <v>11</v>
      </c>
      <c r="G208" s="299"/>
    </row>
    <row r="209" ht="15.0" customHeight="1">
      <c r="B209" s="67"/>
      <c r="C209" s="6"/>
      <c r="D209" s="396" t="s">
        <v>853</v>
      </c>
      <c r="E209" s="118" t="s">
        <v>855</v>
      </c>
      <c r="F209" s="297" t="s">
        <v>11</v>
      </c>
      <c r="G209" s="299"/>
    </row>
    <row r="210" ht="15.0" customHeight="1">
      <c r="B210" s="67"/>
      <c r="C210" s="6"/>
      <c r="D210" s="325" t="s">
        <v>847</v>
      </c>
      <c r="E210" s="177" t="s">
        <v>857</v>
      </c>
      <c r="F210" s="297" t="s">
        <v>11</v>
      </c>
      <c r="G210" s="299"/>
    </row>
    <row r="211" ht="15.0" customHeight="1">
      <c r="B211" s="67"/>
      <c r="C211" s="6"/>
      <c r="D211" s="396" t="s">
        <v>858</v>
      </c>
      <c r="E211" s="118" t="s">
        <v>859</v>
      </c>
      <c r="F211" s="297" t="s">
        <v>11</v>
      </c>
      <c r="G211" s="299"/>
    </row>
    <row r="212" ht="15.0" customHeight="1">
      <c r="B212" s="67"/>
      <c r="C212" s="6"/>
      <c r="D212" s="325" t="s">
        <v>847</v>
      </c>
      <c r="E212" s="177" t="s">
        <v>860</v>
      </c>
      <c r="F212" s="297" t="s">
        <v>11</v>
      </c>
      <c r="G212" s="299"/>
    </row>
    <row r="213" ht="15.0" customHeight="1">
      <c r="B213" s="67"/>
      <c r="C213" s="6"/>
      <c r="D213" s="341" t="s">
        <v>862</v>
      </c>
      <c r="E213" s="118" t="s">
        <v>538</v>
      </c>
      <c r="F213" s="297" t="s">
        <v>11</v>
      </c>
      <c r="G213" s="299"/>
    </row>
    <row r="214" ht="15.0" customHeight="1">
      <c r="B214" s="67"/>
      <c r="C214" s="6"/>
      <c r="D214" s="325" t="s">
        <v>847</v>
      </c>
      <c r="E214" s="177" t="s">
        <v>864</v>
      </c>
      <c r="F214" s="297" t="s">
        <v>11</v>
      </c>
      <c r="G214" s="299"/>
    </row>
    <row r="215" ht="15.0" customHeight="1">
      <c r="B215" s="67"/>
      <c r="C215" s="6"/>
      <c r="D215" s="119" t="s">
        <v>86</v>
      </c>
      <c r="E215" s="221"/>
      <c r="F215" s="297" t="s">
        <v>11</v>
      </c>
      <c r="G215" s="321"/>
    </row>
    <row r="216" ht="15.0" customHeight="1">
      <c r="B216" s="67"/>
      <c r="C216" s="6"/>
      <c r="D216" s="349"/>
      <c r="E216" s="350"/>
      <c r="F216" s="107"/>
      <c r="G216" s="188"/>
    </row>
    <row r="217" ht="15.0" customHeight="1">
      <c r="B217" s="67"/>
      <c r="C217" s="6"/>
      <c r="D217" s="349"/>
      <c r="E217" s="350"/>
      <c r="F217" s="107"/>
      <c r="G217" s="188"/>
    </row>
    <row r="218" ht="15.0" customHeight="1">
      <c r="B218" s="67"/>
      <c r="C218" s="6"/>
      <c r="D218" s="349"/>
      <c r="E218" s="350"/>
      <c r="F218" s="107"/>
      <c r="G218" s="188"/>
    </row>
    <row r="219" ht="15.0" customHeight="1">
      <c r="B219" s="67"/>
      <c r="C219" s="6"/>
      <c r="D219" s="349"/>
      <c r="E219" s="350"/>
      <c r="F219" s="107"/>
      <c r="G219" s="188"/>
    </row>
    <row r="220" ht="15.0" customHeight="1">
      <c r="B220" s="67"/>
      <c r="C220" s="6"/>
      <c r="D220" s="349"/>
      <c r="E220" s="350"/>
      <c r="F220" s="107"/>
      <c r="G220" s="188"/>
    </row>
    <row r="221" ht="15.0" customHeight="1">
      <c r="B221" s="67"/>
      <c r="C221" s="6"/>
      <c r="D221" s="349"/>
      <c r="E221" s="350"/>
      <c r="F221" s="107"/>
      <c r="G221" s="188"/>
    </row>
    <row r="222" ht="15.0" customHeight="1">
      <c r="B222" s="67"/>
      <c r="C222" s="6"/>
      <c r="D222" s="349"/>
      <c r="E222" s="350"/>
      <c r="F222" s="107"/>
      <c r="G222" s="188"/>
    </row>
    <row r="223" ht="15.0" customHeight="1">
      <c r="B223" s="67"/>
      <c r="C223" s="6"/>
      <c r="D223" s="349"/>
      <c r="E223" s="350"/>
      <c r="F223" s="107"/>
      <c r="G223" s="188"/>
    </row>
    <row r="224" ht="15.0" customHeight="1">
      <c r="B224" s="67"/>
      <c r="C224" s="6"/>
      <c r="D224" s="349"/>
      <c r="E224" s="350"/>
      <c r="F224" s="107"/>
      <c r="G224" s="188"/>
    </row>
    <row r="225" ht="15.0" customHeight="1">
      <c r="B225" s="67"/>
      <c r="C225" s="6"/>
      <c r="D225" s="349"/>
      <c r="E225" s="350"/>
      <c r="F225" s="107"/>
      <c r="G225" s="188"/>
    </row>
    <row r="226" ht="15.0" customHeight="1">
      <c r="B226" s="67"/>
      <c r="C226" s="6"/>
      <c r="D226" s="349"/>
      <c r="E226" s="350"/>
      <c r="F226" s="107"/>
      <c r="G226" s="188"/>
    </row>
    <row r="227" ht="15.0" customHeight="1">
      <c r="B227" s="67"/>
      <c r="C227" s="6"/>
      <c r="D227" s="349"/>
      <c r="E227" s="350"/>
      <c r="F227" s="107"/>
      <c r="G227" s="188"/>
    </row>
    <row r="228" ht="15.0" customHeight="1">
      <c r="B228" s="67"/>
      <c r="C228" s="6"/>
      <c r="D228" s="349"/>
      <c r="E228" s="350"/>
      <c r="F228" s="107"/>
      <c r="G228" s="188"/>
    </row>
    <row r="229" ht="15.0" customHeight="1">
      <c r="B229" s="67"/>
      <c r="C229" s="6"/>
      <c r="D229" s="349"/>
      <c r="E229" s="350"/>
      <c r="F229" s="107"/>
      <c r="G229" s="188"/>
    </row>
    <row r="230" ht="15.0" customHeight="1">
      <c r="B230" s="67"/>
      <c r="C230" s="6"/>
      <c r="D230" s="349"/>
      <c r="E230" s="350"/>
      <c r="F230" s="107"/>
      <c r="G230" s="188"/>
    </row>
    <row r="231" ht="15.0" customHeight="1">
      <c r="B231" s="67"/>
      <c r="C231" s="6"/>
      <c r="D231" s="349"/>
      <c r="E231" s="350"/>
      <c r="F231" s="107"/>
      <c r="G231" s="188"/>
    </row>
    <row r="232" ht="15.0" customHeight="1">
      <c r="B232" s="67"/>
      <c r="C232" s="6"/>
      <c r="D232" s="349"/>
      <c r="E232" s="350"/>
      <c r="F232" s="107"/>
      <c r="G232" s="188"/>
    </row>
    <row r="233" ht="15.0" customHeight="1">
      <c r="B233" s="67"/>
      <c r="C233" s="6"/>
      <c r="D233" s="349"/>
      <c r="E233" s="350"/>
      <c r="F233" s="107"/>
      <c r="G233" s="188"/>
    </row>
    <row r="234" ht="15.0" customHeight="1">
      <c r="B234" s="67"/>
      <c r="C234" s="6"/>
      <c r="D234" s="104"/>
      <c r="E234" s="105"/>
      <c r="F234" s="107"/>
      <c r="G234" s="188"/>
    </row>
    <row r="235" ht="15.0" customHeight="1">
      <c r="B235" s="67"/>
      <c r="C235" s="6"/>
      <c r="D235" s="104"/>
      <c r="E235" s="105"/>
      <c r="F235" s="107"/>
      <c r="G235" s="188"/>
    </row>
    <row r="236" ht="15.0" customHeight="1">
      <c r="B236" s="67"/>
      <c r="C236" s="6"/>
      <c r="D236" s="104"/>
      <c r="E236" s="105"/>
      <c r="F236" s="107"/>
      <c r="G236" s="188"/>
    </row>
    <row r="237" ht="15.0" customHeight="1">
      <c r="B237" s="103"/>
      <c r="C237" s="6"/>
      <c r="D237" s="104"/>
      <c r="E237" s="105"/>
      <c r="F237" s="107"/>
      <c r="G237" s="109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6:F6"/>
    <mergeCell ref="B18:B237"/>
  </mergeCells>
  <dataValidations>
    <dataValidation type="list" allowBlank="1" showErrorMessage="1" sqref="G19:G53 G55:G60 G62:G67 G69:G72 G74:G80 G82:G93 G95:G127 G129:G142 G144:G156 G158:G187 G191:G236">
      <formula1>"Pass,Fail,Update required,Not implemented,Not tested,Bug noticed"</formula1>
    </dataValidation>
    <dataValidation type="list" allowBlank="1" showErrorMessage="1" sqref="F16 F19:F215 F237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3" width="2.29"/>
    <col customWidth="1" min="4" max="4" width="67.29"/>
    <col customWidth="1" min="5" max="5" width="63.43"/>
    <col customWidth="1" min="6" max="6" width="25.71"/>
    <col customWidth="1" min="7" max="7" width="36.57"/>
    <col customWidth="1" min="8" max="8" width="8.71"/>
    <col customWidth="1" hidden="1" min="9" max="9" width="0.14"/>
  </cols>
  <sheetData>
    <row r="2" ht="15.0" customHeight="1">
      <c r="I2" s="5" t="s">
        <v>11</v>
      </c>
    </row>
    <row r="3" ht="15.0" customHeight="1">
      <c r="I3" s="5" t="s">
        <v>12</v>
      </c>
    </row>
    <row r="6" ht="20.25" customHeight="1">
      <c r="D6" s="7" t="s">
        <v>14</v>
      </c>
      <c r="E6" s="7"/>
      <c r="F6" s="7"/>
      <c r="G6" s="6"/>
    </row>
    <row r="7" ht="15.0" customHeight="1">
      <c r="D7" s="9"/>
      <c r="E7" s="12"/>
      <c r="F7" s="12"/>
      <c r="G7" s="13"/>
    </row>
    <row r="8" ht="15.0" customHeight="1">
      <c r="D8" s="16" t="s">
        <v>753</v>
      </c>
      <c r="E8" s="18"/>
      <c r="F8" s="20" t="s">
        <v>21</v>
      </c>
      <c r="G8" s="21"/>
    </row>
    <row r="9" ht="15.0" customHeight="1">
      <c r="D9" s="22"/>
      <c r="E9" s="23"/>
      <c r="F9" s="25" t="s">
        <v>24</v>
      </c>
      <c r="G9" s="26"/>
    </row>
    <row r="10" ht="15.0" customHeight="1">
      <c r="D10" s="27"/>
      <c r="E10" s="23"/>
      <c r="F10" s="15" t="s">
        <v>26</v>
      </c>
      <c r="G10" s="28" t="s">
        <v>107</v>
      </c>
    </row>
    <row r="11" ht="15.0" customHeight="1">
      <c r="D11" s="27" t="s">
        <v>28</v>
      </c>
      <c r="E11" s="23">
        <f>COUNTIF(F18:F258,I2)</f>
        <v>239</v>
      </c>
      <c r="F11" s="15" t="s">
        <v>30</v>
      </c>
      <c r="G11" s="28" t="s">
        <v>108</v>
      </c>
    </row>
    <row r="12" ht="15.0" customHeight="1">
      <c r="D12" s="27" t="s">
        <v>33</v>
      </c>
      <c r="E12" s="23">
        <f>COUNTIF(F19:F258,I3)</f>
        <v>0</v>
      </c>
      <c r="F12" s="14" t="s">
        <v>34</v>
      </c>
      <c r="G12" s="141">
        <f>(E11/E13)*100</f>
        <v>100</v>
      </c>
    </row>
    <row r="13" ht="15.0" customHeight="1">
      <c r="D13" s="50" t="s">
        <v>35</v>
      </c>
      <c r="E13" s="51">
        <f>SUM(E11:E12)</f>
        <v>239</v>
      </c>
      <c r="F13" s="52" t="s">
        <v>37</v>
      </c>
      <c r="G13" s="143">
        <f>(E12/E13)*100</f>
        <v>0</v>
      </c>
    </row>
    <row r="16" ht="27.0" customHeight="1">
      <c r="B16" s="144" t="s">
        <v>39</v>
      </c>
      <c r="D16" s="145" t="s">
        <v>41</v>
      </c>
      <c r="E16" s="146" t="s">
        <v>42</v>
      </c>
      <c r="F16" s="146" t="s">
        <v>43</v>
      </c>
      <c r="G16" s="147" t="s">
        <v>44</v>
      </c>
    </row>
    <row r="17">
      <c r="B17" s="148"/>
      <c r="D17" s="149"/>
      <c r="E17" s="150"/>
      <c r="F17" s="151"/>
      <c r="G17" s="152"/>
    </row>
    <row r="18">
      <c r="B18" s="390" t="s">
        <v>783</v>
      </c>
      <c r="D18" s="111" t="s">
        <v>801</v>
      </c>
      <c r="E18" s="189"/>
      <c r="F18" s="296"/>
      <c r="G18" s="346"/>
    </row>
    <row r="19">
      <c r="B19" s="67"/>
      <c r="D19" s="172" t="s">
        <v>808</v>
      </c>
      <c r="E19" s="173" t="s">
        <v>809</v>
      </c>
      <c r="F19" s="297" t="s">
        <v>11</v>
      </c>
      <c r="G19" s="299"/>
    </row>
    <row r="20">
      <c r="B20" s="67"/>
      <c r="D20" s="172" t="s">
        <v>812</v>
      </c>
      <c r="E20" s="173" t="s">
        <v>813</v>
      </c>
      <c r="F20" s="297" t="s">
        <v>11</v>
      </c>
      <c r="G20" s="299"/>
    </row>
    <row r="21">
      <c r="B21" s="67"/>
      <c r="D21" s="119" t="s">
        <v>814</v>
      </c>
      <c r="E21" s="392"/>
      <c r="F21" s="297" t="s">
        <v>11</v>
      </c>
      <c r="G21" s="321"/>
    </row>
    <row r="22">
      <c r="B22" s="67"/>
      <c r="D22" s="393"/>
      <c r="E22" s="393"/>
      <c r="F22" s="297" t="s">
        <v>11</v>
      </c>
      <c r="G22" s="188"/>
    </row>
    <row r="23">
      <c r="B23" s="67"/>
      <c r="D23" s="394" t="s">
        <v>823</v>
      </c>
      <c r="E23" s="323"/>
      <c r="F23" s="297" t="s">
        <v>11</v>
      </c>
      <c r="G23" s="346"/>
    </row>
    <row r="24">
      <c r="B24" s="67"/>
      <c r="D24" s="115" t="s">
        <v>827</v>
      </c>
      <c r="E24" s="118" t="s">
        <v>829</v>
      </c>
      <c r="F24" s="297" t="s">
        <v>11</v>
      </c>
      <c r="G24" s="299"/>
    </row>
    <row r="25">
      <c r="B25" s="67"/>
      <c r="D25" s="115" t="s">
        <v>830</v>
      </c>
      <c r="E25" s="118" t="s">
        <v>831</v>
      </c>
      <c r="F25" s="297" t="s">
        <v>11</v>
      </c>
      <c r="G25" s="299"/>
    </row>
    <row r="26">
      <c r="B26" s="67"/>
      <c r="D26" s="115" t="s">
        <v>833</v>
      </c>
      <c r="E26" s="118" t="s">
        <v>632</v>
      </c>
      <c r="F26" s="297" t="s">
        <v>11</v>
      </c>
      <c r="G26" s="299"/>
    </row>
    <row r="27">
      <c r="B27" s="67"/>
      <c r="D27" s="115" t="s">
        <v>836</v>
      </c>
      <c r="E27" s="118" t="s">
        <v>837</v>
      </c>
      <c r="F27" s="297" t="s">
        <v>11</v>
      </c>
      <c r="G27" s="299"/>
    </row>
    <row r="28">
      <c r="B28" s="67"/>
      <c r="D28" s="115" t="s">
        <v>839</v>
      </c>
      <c r="E28" s="118" t="s">
        <v>841</v>
      </c>
      <c r="F28" s="297" t="s">
        <v>11</v>
      </c>
      <c r="G28" s="299"/>
    </row>
    <row r="29">
      <c r="B29" s="67"/>
      <c r="D29" s="395" t="s">
        <v>843</v>
      </c>
      <c r="E29" s="118" t="s">
        <v>845</v>
      </c>
      <c r="F29" s="297" t="s">
        <v>11</v>
      </c>
      <c r="G29" s="299"/>
    </row>
    <row r="30">
      <c r="B30" s="67"/>
      <c r="D30" s="115" t="s">
        <v>849</v>
      </c>
      <c r="E30" s="118" t="s">
        <v>850</v>
      </c>
      <c r="F30" s="297" t="s">
        <v>11</v>
      </c>
      <c r="G30" s="299"/>
    </row>
    <row r="31">
      <c r="B31" s="67"/>
      <c r="D31" s="115" t="s">
        <v>851</v>
      </c>
      <c r="E31" s="118" t="s">
        <v>852</v>
      </c>
      <c r="F31" s="297" t="s">
        <v>11</v>
      </c>
      <c r="G31" s="299"/>
    </row>
    <row r="32">
      <c r="A32" s="5"/>
      <c r="B32" s="67"/>
      <c r="C32" s="5"/>
      <c r="D32" s="119" t="s">
        <v>814</v>
      </c>
      <c r="E32" s="221"/>
      <c r="F32" s="297" t="s">
        <v>11</v>
      </c>
      <c r="G32" s="321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67"/>
      <c r="C33" s="5"/>
      <c r="D33" s="393"/>
      <c r="E33" s="393"/>
      <c r="F33" s="297" t="s">
        <v>11</v>
      </c>
      <c r="G33" s="18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67"/>
      <c r="C34" s="5"/>
      <c r="D34" s="394" t="s">
        <v>863</v>
      </c>
      <c r="E34" s="323"/>
      <c r="F34" s="297" t="s">
        <v>11</v>
      </c>
      <c r="G34" s="34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B35" s="67"/>
      <c r="D35" s="115" t="s">
        <v>867</v>
      </c>
      <c r="E35" s="118" t="s">
        <v>868</v>
      </c>
      <c r="F35" s="297" t="s">
        <v>11</v>
      </c>
      <c r="G35" s="299"/>
    </row>
    <row r="36">
      <c r="B36" s="67"/>
      <c r="D36" s="115" t="s">
        <v>869</v>
      </c>
      <c r="E36" s="118" t="s">
        <v>870</v>
      </c>
      <c r="F36" s="297" t="s">
        <v>11</v>
      </c>
      <c r="G36" s="299"/>
    </row>
    <row r="37">
      <c r="B37" s="67"/>
      <c r="D37" s="115" t="s">
        <v>871</v>
      </c>
      <c r="E37" s="118" t="s">
        <v>872</v>
      </c>
      <c r="F37" s="297" t="s">
        <v>11</v>
      </c>
      <c r="G37" s="299"/>
    </row>
    <row r="38">
      <c r="B38" s="67"/>
      <c r="D38" s="115" t="s">
        <v>874</v>
      </c>
      <c r="E38" s="118" t="s">
        <v>875</v>
      </c>
      <c r="F38" s="297" t="s">
        <v>11</v>
      </c>
      <c r="G38" s="299"/>
    </row>
    <row r="39">
      <c r="A39" s="5"/>
      <c r="B39" s="67"/>
      <c r="C39" s="5"/>
      <c r="D39" s="119" t="s">
        <v>876</v>
      </c>
      <c r="E39" s="221"/>
      <c r="F39" s="297" t="s">
        <v>11</v>
      </c>
      <c r="G39" s="321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67"/>
      <c r="C40" s="5"/>
      <c r="D40" s="393"/>
      <c r="E40" s="393"/>
      <c r="F40" s="297" t="s">
        <v>11</v>
      </c>
      <c r="G40" s="18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67"/>
      <c r="C41" s="5"/>
      <c r="D41" s="393"/>
      <c r="E41" s="393"/>
      <c r="F41" s="297" t="s">
        <v>11</v>
      </c>
      <c r="G41" s="18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67"/>
      <c r="C42" s="5"/>
      <c r="D42" s="394" t="s">
        <v>879</v>
      </c>
      <c r="E42" s="323"/>
      <c r="F42" s="297" t="s">
        <v>11</v>
      </c>
      <c r="G42" s="34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B43" s="67"/>
      <c r="D43" s="115" t="s">
        <v>827</v>
      </c>
      <c r="E43" s="118" t="s">
        <v>829</v>
      </c>
      <c r="F43" s="297" t="s">
        <v>11</v>
      </c>
      <c r="G43" s="299"/>
    </row>
    <row r="44">
      <c r="B44" s="67"/>
      <c r="D44" s="115" t="s">
        <v>830</v>
      </c>
      <c r="E44" s="118" t="s">
        <v>831</v>
      </c>
      <c r="F44" s="297" t="s">
        <v>11</v>
      </c>
      <c r="G44" s="299"/>
    </row>
    <row r="45">
      <c r="B45" s="67"/>
      <c r="D45" s="115" t="s">
        <v>833</v>
      </c>
      <c r="E45" s="118" t="s">
        <v>632</v>
      </c>
      <c r="F45" s="297" t="s">
        <v>11</v>
      </c>
      <c r="G45" s="299"/>
    </row>
    <row r="46">
      <c r="B46" s="67"/>
      <c r="D46" s="115" t="s">
        <v>882</v>
      </c>
      <c r="E46" s="118" t="s">
        <v>883</v>
      </c>
      <c r="F46" s="297" t="s">
        <v>11</v>
      </c>
      <c r="G46" s="299"/>
    </row>
    <row r="47">
      <c r="B47" s="67"/>
      <c r="D47" s="115" t="s">
        <v>839</v>
      </c>
      <c r="E47" s="118" t="s">
        <v>841</v>
      </c>
      <c r="F47" s="297" t="s">
        <v>11</v>
      </c>
      <c r="G47" s="299"/>
    </row>
    <row r="48">
      <c r="A48" s="5"/>
      <c r="B48" s="67"/>
      <c r="C48" s="5"/>
      <c r="D48" s="119" t="s">
        <v>876</v>
      </c>
      <c r="E48" s="221"/>
      <c r="F48" s="297" t="s">
        <v>11</v>
      </c>
      <c r="G48" s="32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67"/>
      <c r="C49" s="5"/>
      <c r="D49" s="393"/>
      <c r="E49" s="393"/>
      <c r="F49" s="297" t="s">
        <v>11</v>
      </c>
      <c r="G49" s="18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67"/>
      <c r="C50" s="5"/>
      <c r="D50" s="393"/>
      <c r="E50" s="393"/>
      <c r="F50" s="297" t="s">
        <v>11</v>
      </c>
      <c r="G50" s="18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67"/>
      <c r="C51" s="5"/>
      <c r="D51" s="111" t="s">
        <v>843</v>
      </c>
      <c r="E51" s="323" t="s">
        <v>845</v>
      </c>
      <c r="F51" s="297" t="s">
        <v>11</v>
      </c>
      <c r="G51" s="34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67"/>
      <c r="C52" s="5"/>
      <c r="D52" s="115" t="s">
        <v>849</v>
      </c>
      <c r="E52" s="118" t="s">
        <v>850</v>
      </c>
      <c r="F52" s="297" t="s">
        <v>11</v>
      </c>
      <c r="G52" s="29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67"/>
      <c r="C53" s="5"/>
      <c r="D53" s="115" t="s">
        <v>851</v>
      </c>
      <c r="E53" s="118" t="s">
        <v>852</v>
      </c>
      <c r="F53" s="297" t="s">
        <v>11</v>
      </c>
      <c r="G53" s="29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67"/>
      <c r="C54" s="5"/>
      <c r="D54" s="119" t="s">
        <v>814</v>
      </c>
      <c r="E54" s="221"/>
      <c r="F54" s="297" t="s">
        <v>11</v>
      </c>
      <c r="G54" s="321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67"/>
      <c r="C55" s="5"/>
      <c r="D55" s="393"/>
      <c r="E55" s="393"/>
      <c r="F55" s="297" t="s">
        <v>11</v>
      </c>
      <c r="G55" s="18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67"/>
      <c r="C56" s="5"/>
      <c r="D56" s="393"/>
      <c r="E56" s="393"/>
      <c r="F56" s="297" t="s">
        <v>11</v>
      </c>
      <c r="G56" s="18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67"/>
      <c r="C57" s="5"/>
      <c r="D57" s="393"/>
      <c r="E57" s="393"/>
      <c r="F57" s="297" t="s">
        <v>11</v>
      </c>
      <c r="G57" s="18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67"/>
      <c r="C58" s="5"/>
      <c r="D58" s="394" t="s">
        <v>863</v>
      </c>
      <c r="E58" s="323"/>
      <c r="F58" s="297" t="s">
        <v>11</v>
      </c>
      <c r="G58" s="346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B59" s="67"/>
      <c r="D59" s="115" t="s">
        <v>867</v>
      </c>
      <c r="E59" s="118" t="s">
        <v>868</v>
      </c>
      <c r="F59" s="297" t="s">
        <v>11</v>
      </c>
      <c r="G59" s="299"/>
    </row>
    <row r="60">
      <c r="B60" s="67"/>
      <c r="D60" s="115" t="s">
        <v>905</v>
      </c>
      <c r="E60" s="118" t="s">
        <v>906</v>
      </c>
      <c r="F60" s="297" t="s">
        <v>11</v>
      </c>
      <c r="G60" s="299"/>
    </row>
    <row r="61">
      <c r="B61" s="67"/>
      <c r="D61" s="115" t="s">
        <v>871</v>
      </c>
      <c r="E61" s="118" t="s">
        <v>872</v>
      </c>
      <c r="F61" s="297" t="s">
        <v>11</v>
      </c>
      <c r="G61" s="299"/>
    </row>
    <row r="62">
      <c r="B62" s="67"/>
      <c r="D62" s="115" t="s">
        <v>874</v>
      </c>
      <c r="E62" s="118" t="s">
        <v>875</v>
      </c>
      <c r="F62" s="297" t="s">
        <v>11</v>
      </c>
      <c r="G62" s="299"/>
    </row>
    <row r="63">
      <c r="A63" s="5"/>
      <c r="B63" s="67"/>
      <c r="C63" s="5"/>
      <c r="D63" s="119" t="s">
        <v>814</v>
      </c>
      <c r="E63" s="221"/>
      <c r="F63" s="297" t="s">
        <v>11</v>
      </c>
      <c r="G63" s="321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67"/>
      <c r="C64" s="5"/>
      <c r="D64" s="393"/>
      <c r="E64" s="393"/>
      <c r="F64" s="297" t="s">
        <v>11</v>
      </c>
      <c r="G64" s="18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67"/>
      <c r="C65" s="5"/>
      <c r="D65" s="394" t="s">
        <v>911</v>
      </c>
      <c r="E65" s="323"/>
      <c r="F65" s="297" t="s">
        <v>11</v>
      </c>
      <c r="G65" s="34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67"/>
      <c r="D66" s="115" t="s">
        <v>827</v>
      </c>
      <c r="E66" s="118" t="s">
        <v>829</v>
      </c>
      <c r="F66" s="297" t="s">
        <v>11</v>
      </c>
      <c r="G66" s="299"/>
    </row>
    <row r="67">
      <c r="B67" s="67"/>
      <c r="D67" s="115" t="s">
        <v>830</v>
      </c>
      <c r="E67" s="118" t="s">
        <v>831</v>
      </c>
      <c r="F67" s="297" t="s">
        <v>11</v>
      </c>
      <c r="G67" s="299"/>
    </row>
    <row r="68">
      <c r="B68" s="67"/>
      <c r="D68" s="115" t="s">
        <v>833</v>
      </c>
      <c r="E68" s="118" t="s">
        <v>632</v>
      </c>
      <c r="F68" s="297" t="s">
        <v>11</v>
      </c>
      <c r="G68" s="299"/>
    </row>
    <row r="69">
      <c r="B69" s="67"/>
      <c r="D69" s="115" t="s">
        <v>920</v>
      </c>
      <c r="E69" s="118" t="s">
        <v>921</v>
      </c>
      <c r="F69" s="297" t="s">
        <v>11</v>
      </c>
      <c r="G69" s="299"/>
    </row>
    <row r="70">
      <c r="B70" s="67"/>
      <c r="D70" s="115" t="s">
        <v>922</v>
      </c>
      <c r="E70" s="118" t="s">
        <v>924</v>
      </c>
      <c r="F70" s="297" t="s">
        <v>11</v>
      </c>
      <c r="G70" s="299"/>
    </row>
    <row r="71">
      <c r="B71" s="67"/>
      <c r="D71" s="115" t="s">
        <v>926</v>
      </c>
      <c r="E71" s="118" t="s">
        <v>927</v>
      </c>
      <c r="F71" s="297" t="s">
        <v>11</v>
      </c>
      <c r="G71" s="299"/>
    </row>
    <row r="72">
      <c r="B72" s="67"/>
      <c r="D72" s="115" t="s">
        <v>928</v>
      </c>
      <c r="E72" s="118" t="s">
        <v>929</v>
      </c>
      <c r="F72" s="297" t="s">
        <v>11</v>
      </c>
      <c r="G72" s="299"/>
    </row>
    <row r="73">
      <c r="B73" s="67"/>
      <c r="D73" s="115" t="s">
        <v>930</v>
      </c>
      <c r="E73" s="118" t="s">
        <v>931</v>
      </c>
      <c r="F73" s="297" t="s">
        <v>11</v>
      </c>
      <c r="G73" s="299"/>
    </row>
    <row r="74">
      <c r="B74" s="67"/>
      <c r="D74" s="115" t="s">
        <v>839</v>
      </c>
      <c r="E74" s="118" t="s">
        <v>841</v>
      </c>
      <c r="F74" s="297" t="s">
        <v>11</v>
      </c>
      <c r="G74" s="299"/>
    </row>
    <row r="75">
      <c r="B75" s="67"/>
      <c r="D75" s="395" t="s">
        <v>843</v>
      </c>
      <c r="E75" s="118" t="s">
        <v>845</v>
      </c>
      <c r="F75" s="297" t="s">
        <v>11</v>
      </c>
      <c r="G75" s="299"/>
    </row>
    <row r="76">
      <c r="B76" s="67"/>
      <c r="D76" s="115" t="s">
        <v>849</v>
      </c>
      <c r="E76" s="118" t="s">
        <v>850</v>
      </c>
      <c r="F76" s="297" t="s">
        <v>11</v>
      </c>
      <c r="G76" s="299"/>
    </row>
    <row r="77">
      <c r="B77" s="67"/>
      <c r="D77" s="115" t="s">
        <v>851</v>
      </c>
      <c r="E77" s="118" t="s">
        <v>852</v>
      </c>
      <c r="F77" s="297" t="s">
        <v>11</v>
      </c>
      <c r="G77" s="299"/>
    </row>
    <row r="78">
      <c r="A78" s="5"/>
      <c r="B78" s="67"/>
      <c r="C78" s="5"/>
      <c r="D78" s="119" t="s">
        <v>814</v>
      </c>
      <c r="E78" s="221"/>
      <c r="F78" s="297" t="s">
        <v>11</v>
      </c>
      <c r="G78" s="32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67"/>
      <c r="C79" s="5"/>
      <c r="D79" s="393"/>
      <c r="E79" s="393"/>
      <c r="F79" s="297" t="s">
        <v>11</v>
      </c>
      <c r="G79" s="18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67"/>
      <c r="C80" s="5"/>
      <c r="D80" s="393"/>
      <c r="E80" s="393"/>
      <c r="F80" s="297" t="s">
        <v>11</v>
      </c>
      <c r="G80" s="18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67"/>
      <c r="C81" s="5"/>
      <c r="D81" s="394" t="s">
        <v>863</v>
      </c>
      <c r="E81" s="323"/>
      <c r="F81" s="297" t="s">
        <v>11</v>
      </c>
      <c r="G81" s="346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B82" s="67"/>
      <c r="D82" s="115" t="s">
        <v>867</v>
      </c>
      <c r="E82" s="118" t="s">
        <v>868</v>
      </c>
      <c r="F82" s="297" t="s">
        <v>11</v>
      </c>
      <c r="G82" s="299"/>
    </row>
    <row r="83">
      <c r="B83" s="67"/>
      <c r="D83" s="115" t="s">
        <v>869</v>
      </c>
      <c r="E83" s="118" t="s">
        <v>870</v>
      </c>
      <c r="F83" s="297" t="s">
        <v>11</v>
      </c>
      <c r="G83" s="299"/>
    </row>
    <row r="84">
      <c r="B84" s="67"/>
      <c r="D84" s="115" t="s">
        <v>871</v>
      </c>
      <c r="E84" s="118" t="s">
        <v>872</v>
      </c>
      <c r="F84" s="297" t="s">
        <v>11</v>
      </c>
      <c r="G84" s="299"/>
    </row>
    <row r="85">
      <c r="B85" s="67"/>
      <c r="D85" s="115" t="s">
        <v>874</v>
      </c>
      <c r="E85" s="118" t="s">
        <v>875</v>
      </c>
      <c r="F85" s="297" t="s">
        <v>11</v>
      </c>
      <c r="G85" s="299"/>
    </row>
    <row r="86">
      <c r="B86" s="67"/>
      <c r="D86" s="115" t="s">
        <v>943</v>
      </c>
      <c r="E86" s="118" t="s">
        <v>944</v>
      </c>
      <c r="F86" s="297" t="s">
        <v>11</v>
      </c>
      <c r="G86" s="299"/>
    </row>
    <row r="87">
      <c r="B87" s="67"/>
      <c r="D87" s="115" t="s">
        <v>947</v>
      </c>
      <c r="E87" s="118" t="s">
        <v>948</v>
      </c>
      <c r="F87" s="297" t="s">
        <v>11</v>
      </c>
      <c r="G87" s="299"/>
    </row>
    <row r="88">
      <c r="A88" s="5"/>
      <c r="B88" s="67"/>
      <c r="C88" s="5"/>
      <c r="D88" s="119" t="s">
        <v>814</v>
      </c>
      <c r="E88" s="221"/>
      <c r="F88" s="297" t="s">
        <v>11</v>
      </c>
      <c r="G88" s="32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67"/>
      <c r="C89" s="5"/>
      <c r="D89" s="203"/>
      <c r="E89" s="100"/>
      <c r="F89" s="297" t="s">
        <v>11</v>
      </c>
      <c r="G89" s="18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67"/>
      <c r="C90" s="5"/>
      <c r="D90" s="362" t="s">
        <v>950</v>
      </c>
      <c r="E90" s="363"/>
      <c r="F90" s="297" t="s">
        <v>11</v>
      </c>
      <c r="G90" s="346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B91" s="67"/>
      <c r="D91" s="325" t="s">
        <v>943</v>
      </c>
      <c r="E91" s="177" t="s">
        <v>944</v>
      </c>
      <c r="F91" s="297" t="s">
        <v>11</v>
      </c>
      <c r="G91" s="299"/>
    </row>
    <row r="92">
      <c r="B92" s="67"/>
      <c r="D92" s="325" t="s">
        <v>952</v>
      </c>
      <c r="E92" s="177" t="s">
        <v>953</v>
      </c>
      <c r="F92" s="297" t="s">
        <v>11</v>
      </c>
      <c r="G92" s="299"/>
    </row>
    <row r="93">
      <c r="B93" s="67"/>
      <c r="D93" s="325" t="s">
        <v>954</v>
      </c>
      <c r="E93" s="177" t="s">
        <v>955</v>
      </c>
      <c r="F93" s="297" t="s">
        <v>11</v>
      </c>
      <c r="G93" s="299"/>
    </row>
    <row r="94">
      <c r="B94" s="67"/>
      <c r="D94" s="325" t="s">
        <v>957</v>
      </c>
      <c r="E94" s="177" t="s">
        <v>958</v>
      </c>
      <c r="F94" s="297" t="s">
        <v>11</v>
      </c>
      <c r="G94" s="299"/>
    </row>
    <row r="95">
      <c r="A95" s="5"/>
      <c r="B95" s="67"/>
      <c r="C95" s="5"/>
      <c r="D95" s="365" t="s">
        <v>86</v>
      </c>
      <c r="E95" s="366"/>
      <c r="F95" s="297" t="s">
        <v>11</v>
      </c>
      <c r="G95" s="32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67"/>
      <c r="C96" s="5"/>
      <c r="D96" s="377"/>
      <c r="E96" s="377"/>
      <c r="F96" s="297" t="s">
        <v>11</v>
      </c>
      <c r="G96" s="18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67"/>
      <c r="C97" s="5"/>
      <c r="D97" s="362" t="s">
        <v>960</v>
      </c>
      <c r="E97" s="363"/>
      <c r="F97" s="297" t="s">
        <v>11</v>
      </c>
      <c r="G97" s="34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B98" s="67"/>
      <c r="D98" s="325" t="s">
        <v>943</v>
      </c>
      <c r="E98" s="177" t="s">
        <v>944</v>
      </c>
      <c r="F98" s="297" t="s">
        <v>11</v>
      </c>
      <c r="G98" s="299"/>
    </row>
    <row r="99">
      <c r="B99" s="67"/>
      <c r="D99" s="325" t="s">
        <v>952</v>
      </c>
      <c r="E99" s="177" t="s">
        <v>961</v>
      </c>
      <c r="F99" s="297" t="s">
        <v>11</v>
      </c>
      <c r="G99" s="299"/>
    </row>
    <row r="100">
      <c r="B100" s="67"/>
      <c r="D100" s="325" t="s">
        <v>954</v>
      </c>
      <c r="E100" s="177" t="s">
        <v>955</v>
      </c>
      <c r="F100" s="297" t="s">
        <v>11</v>
      </c>
      <c r="G100" s="299"/>
    </row>
    <row r="101">
      <c r="B101" s="67"/>
      <c r="D101" s="325" t="s">
        <v>957</v>
      </c>
      <c r="E101" s="177" t="s">
        <v>964</v>
      </c>
      <c r="F101" s="297" t="s">
        <v>11</v>
      </c>
      <c r="G101" s="299"/>
    </row>
    <row r="102">
      <c r="A102" s="5"/>
      <c r="B102" s="67"/>
      <c r="C102" s="5"/>
      <c r="D102" s="119" t="s">
        <v>86</v>
      </c>
      <c r="E102" s="221"/>
      <c r="F102" s="297" t="s">
        <v>11</v>
      </c>
      <c r="G102" s="321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67"/>
      <c r="C103" s="5"/>
      <c r="D103" s="350"/>
      <c r="E103" s="350"/>
      <c r="F103" s="297" t="s">
        <v>11</v>
      </c>
      <c r="G103" s="18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67"/>
      <c r="C104" s="5"/>
      <c r="D104" s="111" t="s">
        <v>966</v>
      </c>
      <c r="E104" s="323"/>
      <c r="F104" s="297" t="s">
        <v>11</v>
      </c>
      <c r="G104" s="34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B105" s="67"/>
      <c r="D105" s="115" t="s">
        <v>808</v>
      </c>
      <c r="E105" s="118" t="s">
        <v>809</v>
      </c>
      <c r="F105" s="297" t="s">
        <v>11</v>
      </c>
      <c r="G105" s="299"/>
    </row>
    <row r="106">
      <c r="B106" s="67"/>
      <c r="D106" s="325" t="s">
        <v>969</v>
      </c>
      <c r="E106" s="177" t="s">
        <v>970</v>
      </c>
      <c r="F106" s="297" t="s">
        <v>11</v>
      </c>
      <c r="G106" s="299"/>
    </row>
    <row r="107">
      <c r="B107" s="67"/>
      <c r="D107" s="325" t="s">
        <v>971</v>
      </c>
      <c r="E107" s="177" t="s">
        <v>972</v>
      </c>
      <c r="F107" s="297" t="s">
        <v>11</v>
      </c>
      <c r="G107" s="299"/>
    </row>
    <row r="108">
      <c r="B108" s="67"/>
      <c r="D108" s="325" t="s">
        <v>973</v>
      </c>
      <c r="E108" s="177" t="s">
        <v>974</v>
      </c>
      <c r="F108" s="297" t="s">
        <v>11</v>
      </c>
      <c r="G108" s="299"/>
    </row>
    <row r="109">
      <c r="B109" s="67"/>
      <c r="D109" s="325" t="s">
        <v>976</v>
      </c>
      <c r="E109" s="177" t="s">
        <v>977</v>
      </c>
      <c r="F109" s="297" t="s">
        <v>11</v>
      </c>
      <c r="G109" s="299"/>
    </row>
    <row r="110">
      <c r="B110" s="67"/>
      <c r="D110" s="325" t="s">
        <v>978</v>
      </c>
      <c r="E110" s="177" t="s">
        <v>979</v>
      </c>
      <c r="F110" s="297" t="s">
        <v>11</v>
      </c>
      <c r="G110" s="299"/>
    </row>
    <row r="111">
      <c r="B111" s="67"/>
      <c r="D111" s="325" t="s">
        <v>981</v>
      </c>
      <c r="E111" s="177" t="s">
        <v>982</v>
      </c>
      <c r="F111" s="297" t="s">
        <v>11</v>
      </c>
      <c r="G111" s="299"/>
    </row>
    <row r="112">
      <c r="B112" s="67"/>
      <c r="D112" s="325" t="s">
        <v>983</v>
      </c>
      <c r="E112" s="177" t="s">
        <v>984</v>
      </c>
      <c r="F112" s="297" t="s">
        <v>11</v>
      </c>
      <c r="G112" s="299"/>
    </row>
    <row r="113">
      <c r="B113" s="67"/>
      <c r="D113" s="325" t="s">
        <v>985</v>
      </c>
      <c r="E113" s="177" t="s">
        <v>986</v>
      </c>
      <c r="F113" s="297" t="s">
        <v>11</v>
      </c>
      <c r="G113" s="299"/>
    </row>
    <row r="114">
      <c r="B114" s="67"/>
      <c r="D114" s="325" t="s">
        <v>987</v>
      </c>
      <c r="E114" s="177" t="s">
        <v>988</v>
      </c>
      <c r="F114" s="297" t="s">
        <v>11</v>
      </c>
      <c r="G114" s="299"/>
    </row>
    <row r="115">
      <c r="B115" s="67"/>
      <c r="D115" s="325" t="s">
        <v>989</v>
      </c>
      <c r="E115" s="177" t="s">
        <v>990</v>
      </c>
      <c r="F115" s="297" t="s">
        <v>11</v>
      </c>
      <c r="G115" s="299"/>
    </row>
    <row r="116">
      <c r="B116" s="67"/>
      <c r="D116" s="325" t="s">
        <v>993</v>
      </c>
      <c r="E116" s="177" t="s">
        <v>994</v>
      </c>
      <c r="F116" s="297" t="s">
        <v>11</v>
      </c>
      <c r="G116" s="299"/>
    </row>
    <row r="117">
      <c r="B117" s="67"/>
      <c r="D117" s="325" t="s">
        <v>995</v>
      </c>
      <c r="E117" s="177" t="s">
        <v>996</v>
      </c>
      <c r="F117" s="297" t="s">
        <v>11</v>
      </c>
      <c r="G117" s="299"/>
    </row>
    <row r="118">
      <c r="B118" s="67"/>
      <c r="D118" s="325" t="s">
        <v>736</v>
      </c>
      <c r="E118" s="177" t="s">
        <v>737</v>
      </c>
      <c r="F118" s="297" t="s">
        <v>11</v>
      </c>
      <c r="G118" s="299"/>
    </row>
    <row r="119">
      <c r="B119" s="67"/>
      <c r="D119" s="325" t="s">
        <v>738</v>
      </c>
      <c r="E119" s="177" t="s">
        <v>740</v>
      </c>
      <c r="F119" s="297" t="s">
        <v>11</v>
      </c>
      <c r="G119" s="299"/>
    </row>
    <row r="120">
      <c r="A120" s="5"/>
      <c r="B120" s="67"/>
      <c r="C120" s="5"/>
      <c r="D120" s="365" t="s">
        <v>86</v>
      </c>
      <c r="E120" s="366"/>
      <c r="F120" s="297" t="s">
        <v>11</v>
      </c>
      <c r="G120" s="32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67"/>
      <c r="C121" s="5"/>
      <c r="D121" s="376"/>
      <c r="E121" s="377"/>
      <c r="F121" s="297" t="s">
        <v>11</v>
      </c>
      <c r="G121" s="18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67"/>
      <c r="C122" s="5"/>
      <c r="D122" s="376"/>
      <c r="E122" s="377"/>
      <c r="F122" s="297" t="s">
        <v>11</v>
      </c>
      <c r="G122" s="18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67"/>
      <c r="C123" s="5"/>
      <c r="D123" s="377"/>
      <c r="E123" s="377"/>
      <c r="F123" s="297" t="s">
        <v>11</v>
      </c>
      <c r="G123" s="361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B124" s="67"/>
      <c r="D124" s="362" t="s">
        <v>1005</v>
      </c>
      <c r="E124" s="363"/>
      <c r="F124" s="297" t="s">
        <v>11</v>
      </c>
      <c r="G124" s="346"/>
    </row>
    <row r="125">
      <c r="B125" s="67"/>
      <c r="D125" s="325" t="s">
        <v>808</v>
      </c>
      <c r="E125" s="177" t="s">
        <v>809</v>
      </c>
      <c r="F125" s="297" t="s">
        <v>11</v>
      </c>
      <c r="G125" s="299"/>
    </row>
    <row r="126">
      <c r="B126" s="67"/>
      <c r="D126" s="325" t="s">
        <v>969</v>
      </c>
      <c r="E126" s="177" t="s">
        <v>970</v>
      </c>
      <c r="F126" s="297" t="s">
        <v>11</v>
      </c>
      <c r="G126" s="299"/>
    </row>
    <row r="127">
      <c r="B127" s="67"/>
      <c r="D127" s="325" t="s">
        <v>1007</v>
      </c>
      <c r="E127" s="177" t="s">
        <v>1008</v>
      </c>
      <c r="F127" s="297" t="s">
        <v>11</v>
      </c>
      <c r="G127" s="299"/>
    </row>
    <row r="128">
      <c r="B128" s="67"/>
      <c r="D128" s="325" t="s">
        <v>973</v>
      </c>
      <c r="E128" s="177" t="s">
        <v>1009</v>
      </c>
      <c r="F128" s="297" t="s">
        <v>11</v>
      </c>
      <c r="G128" s="299"/>
    </row>
    <row r="129">
      <c r="B129" s="67"/>
      <c r="D129" s="325" t="s">
        <v>976</v>
      </c>
      <c r="E129" s="177" t="s">
        <v>977</v>
      </c>
      <c r="F129" s="297" t="s">
        <v>11</v>
      </c>
      <c r="G129" s="299"/>
    </row>
    <row r="130">
      <c r="B130" s="67"/>
      <c r="D130" s="325" t="s">
        <v>978</v>
      </c>
      <c r="E130" s="177" t="s">
        <v>979</v>
      </c>
      <c r="F130" s="297" t="s">
        <v>11</v>
      </c>
      <c r="G130" s="299"/>
    </row>
    <row r="131">
      <c r="B131" s="67"/>
      <c r="D131" s="325" t="s">
        <v>981</v>
      </c>
      <c r="E131" s="177" t="s">
        <v>982</v>
      </c>
      <c r="F131" s="297" t="s">
        <v>11</v>
      </c>
      <c r="G131" s="299"/>
    </row>
    <row r="132">
      <c r="B132" s="67"/>
      <c r="D132" s="325" t="s">
        <v>983</v>
      </c>
      <c r="E132" s="177" t="s">
        <v>984</v>
      </c>
      <c r="F132" s="297" t="s">
        <v>11</v>
      </c>
      <c r="G132" s="299"/>
    </row>
    <row r="133">
      <c r="B133" s="67"/>
      <c r="D133" s="325" t="s">
        <v>985</v>
      </c>
      <c r="E133" s="177" t="s">
        <v>986</v>
      </c>
      <c r="F133" s="297" t="s">
        <v>11</v>
      </c>
      <c r="G133" s="299"/>
    </row>
    <row r="134">
      <c r="B134" s="67"/>
      <c r="D134" s="325" t="s">
        <v>987</v>
      </c>
      <c r="E134" s="177" t="s">
        <v>988</v>
      </c>
      <c r="F134" s="297" t="s">
        <v>11</v>
      </c>
      <c r="G134" s="299"/>
    </row>
    <row r="135">
      <c r="B135" s="67"/>
      <c r="D135" s="325" t="s">
        <v>989</v>
      </c>
      <c r="E135" s="177" t="s">
        <v>990</v>
      </c>
      <c r="F135" s="297" t="s">
        <v>11</v>
      </c>
      <c r="G135" s="299"/>
    </row>
    <row r="136">
      <c r="B136" s="67"/>
      <c r="D136" s="325" t="s">
        <v>993</v>
      </c>
      <c r="E136" s="177" t="s">
        <v>994</v>
      </c>
      <c r="F136" s="297" t="s">
        <v>11</v>
      </c>
      <c r="G136" s="299"/>
    </row>
    <row r="137">
      <c r="B137" s="67"/>
      <c r="D137" s="325" t="s">
        <v>995</v>
      </c>
      <c r="E137" s="177" t="s">
        <v>996</v>
      </c>
      <c r="F137" s="297" t="s">
        <v>11</v>
      </c>
      <c r="G137" s="299"/>
    </row>
    <row r="138">
      <c r="B138" s="67"/>
      <c r="D138" s="325" t="s">
        <v>736</v>
      </c>
      <c r="E138" s="177" t="s">
        <v>737</v>
      </c>
      <c r="F138" s="297" t="s">
        <v>11</v>
      </c>
      <c r="G138" s="299"/>
    </row>
    <row r="139">
      <c r="B139" s="67"/>
      <c r="D139" s="325" t="s">
        <v>738</v>
      </c>
      <c r="E139" s="177" t="s">
        <v>740</v>
      </c>
      <c r="F139" s="297" t="s">
        <v>11</v>
      </c>
      <c r="G139" s="299"/>
    </row>
    <row r="140">
      <c r="A140" s="5"/>
      <c r="B140" s="67"/>
      <c r="C140" s="5"/>
      <c r="D140" s="365" t="s">
        <v>86</v>
      </c>
      <c r="E140" s="366"/>
      <c r="F140" s="297" t="s">
        <v>11</v>
      </c>
      <c r="G140" s="321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67"/>
      <c r="C141" s="5"/>
      <c r="D141" s="350"/>
      <c r="E141" s="350"/>
      <c r="F141" s="297" t="s">
        <v>11</v>
      </c>
      <c r="G141" s="18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67"/>
      <c r="C142" s="5"/>
      <c r="D142" s="111" t="s">
        <v>1012</v>
      </c>
      <c r="E142" s="323"/>
      <c r="F142" s="297" t="s">
        <v>11</v>
      </c>
      <c r="G142" s="34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67"/>
      <c r="C143" s="5"/>
      <c r="D143" s="115" t="s">
        <v>808</v>
      </c>
      <c r="E143" s="118" t="s">
        <v>809</v>
      </c>
      <c r="F143" s="297" t="s">
        <v>11</v>
      </c>
      <c r="G143" s="299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B144" s="67"/>
      <c r="D144" s="115" t="s">
        <v>943</v>
      </c>
      <c r="E144" s="118" t="s">
        <v>944</v>
      </c>
      <c r="F144" s="297" t="s">
        <v>11</v>
      </c>
      <c r="G144" s="299"/>
    </row>
    <row r="145">
      <c r="B145" s="67"/>
      <c r="D145" s="115" t="s">
        <v>1014</v>
      </c>
      <c r="E145" s="118" t="s">
        <v>948</v>
      </c>
      <c r="F145" s="297" t="s">
        <v>11</v>
      </c>
      <c r="G145" s="299"/>
    </row>
    <row r="146">
      <c r="B146" s="67"/>
      <c r="D146" s="115" t="s">
        <v>1016</v>
      </c>
      <c r="E146" s="78" t="s">
        <v>1017</v>
      </c>
      <c r="F146" s="297" t="s">
        <v>11</v>
      </c>
      <c r="G146" s="299"/>
    </row>
    <row r="147">
      <c r="B147" s="67"/>
      <c r="D147" s="115" t="s">
        <v>1018</v>
      </c>
      <c r="E147" s="78" t="s">
        <v>1019</v>
      </c>
      <c r="F147" s="297" t="s">
        <v>11</v>
      </c>
      <c r="G147" s="299"/>
    </row>
    <row r="148">
      <c r="B148" s="67"/>
      <c r="D148" s="115" t="s">
        <v>1020</v>
      </c>
      <c r="E148" s="118" t="s">
        <v>1021</v>
      </c>
      <c r="F148" s="297" t="s">
        <v>11</v>
      </c>
      <c r="G148" s="299"/>
    </row>
    <row r="149">
      <c r="B149" s="67"/>
      <c r="D149" s="115" t="s">
        <v>1023</v>
      </c>
      <c r="E149" s="118" t="s">
        <v>1024</v>
      </c>
      <c r="F149" s="297" t="s">
        <v>11</v>
      </c>
      <c r="G149" s="299"/>
    </row>
    <row r="150">
      <c r="B150" s="67"/>
      <c r="D150" s="115" t="s">
        <v>1025</v>
      </c>
      <c r="E150" s="78" t="s">
        <v>1026</v>
      </c>
      <c r="F150" s="297" t="s">
        <v>11</v>
      </c>
      <c r="G150" s="299"/>
    </row>
    <row r="151">
      <c r="B151" s="67"/>
      <c r="D151" s="115" t="s">
        <v>1027</v>
      </c>
      <c r="E151" s="118" t="s">
        <v>1028</v>
      </c>
      <c r="F151" s="297" t="s">
        <v>11</v>
      </c>
      <c r="G151" s="299"/>
    </row>
    <row r="152">
      <c r="B152" s="67"/>
      <c r="D152" s="115" t="s">
        <v>1029</v>
      </c>
      <c r="E152" s="118" t="s">
        <v>1030</v>
      </c>
      <c r="F152" s="297" t="s">
        <v>11</v>
      </c>
      <c r="G152" s="299"/>
    </row>
    <row r="153">
      <c r="B153" s="67"/>
      <c r="D153" s="119" t="s">
        <v>86</v>
      </c>
      <c r="E153" s="221"/>
      <c r="F153" s="297" t="s">
        <v>11</v>
      </c>
      <c r="G153" s="321"/>
    </row>
    <row r="154">
      <c r="A154" s="5"/>
      <c r="B154" s="67"/>
      <c r="C154" s="5"/>
      <c r="D154" s="5"/>
      <c r="E154" s="5"/>
      <c r="F154" s="297" t="s">
        <v>11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67"/>
      <c r="C155" s="5"/>
      <c r="D155" s="350"/>
      <c r="E155" s="350"/>
      <c r="F155" s="297" t="s">
        <v>11</v>
      </c>
      <c r="G155" s="18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67"/>
      <c r="C156" s="5"/>
      <c r="D156" s="350"/>
      <c r="E156" s="350"/>
      <c r="F156" s="297" t="s">
        <v>11</v>
      </c>
      <c r="G156" s="18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67"/>
      <c r="C157" s="5"/>
      <c r="D157" s="111" t="s">
        <v>1036</v>
      </c>
      <c r="E157" s="323"/>
      <c r="F157" s="297" t="s">
        <v>11</v>
      </c>
      <c r="G157" s="34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B158" s="67"/>
      <c r="D158" s="115" t="s">
        <v>808</v>
      </c>
      <c r="E158" s="118" t="s">
        <v>809</v>
      </c>
      <c r="F158" s="297" t="s">
        <v>11</v>
      </c>
      <c r="G158" s="299"/>
    </row>
    <row r="159">
      <c r="B159" s="67"/>
      <c r="D159" s="115" t="s">
        <v>943</v>
      </c>
      <c r="E159" s="118" t="s">
        <v>944</v>
      </c>
      <c r="F159" s="297" t="s">
        <v>11</v>
      </c>
      <c r="G159" s="299"/>
    </row>
    <row r="160">
      <c r="B160" s="67"/>
      <c r="D160" s="115" t="s">
        <v>1014</v>
      </c>
      <c r="E160" s="118" t="s">
        <v>948</v>
      </c>
      <c r="F160" s="297" t="s">
        <v>11</v>
      </c>
      <c r="G160" s="299"/>
    </row>
    <row r="161">
      <c r="B161" s="67"/>
      <c r="D161" s="115" t="s">
        <v>1016</v>
      </c>
      <c r="E161" s="78" t="s">
        <v>1017</v>
      </c>
      <c r="F161" s="297" t="s">
        <v>11</v>
      </c>
      <c r="G161" s="299"/>
    </row>
    <row r="162">
      <c r="B162" s="67"/>
      <c r="D162" s="115" t="s">
        <v>1018</v>
      </c>
      <c r="E162" s="78" t="s">
        <v>1019</v>
      </c>
      <c r="F162" s="297" t="s">
        <v>11</v>
      </c>
      <c r="G162" s="299"/>
    </row>
    <row r="163">
      <c r="B163" s="67"/>
      <c r="D163" s="115" t="s">
        <v>1041</v>
      </c>
      <c r="E163" s="118" t="s">
        <v>1042</v>
      </c>
      <c r="F163" s="297" t="s">
        <v>11</v>
      </c>
      <c r="G163" s="299"/>
    </row>
    <row r="164">
      <c r="A164" s="5"/>
      <c r="B164" s="67"/>
      <c r="C164" s="5"/>
      <c r="D164" s="119" t="s">
        <v>86</v>
      </c>
      <c r="E164" s="221"/>
      <c r="F164" s="297" t="s">
        <v>11</v>
      </c>
      <c r="G164" s="321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67"/>
      <c r="C165" s="5"/>
      <c r="D165" s="350"/>
      <c r="E165" s="350"/>
      <c r="F165" s="297" t="s">
        <v>11</v>
      </c>
      <c r="G165" s="18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67"/>
      <c r="C166" s="5"/>
      <c r="D166" s="111" t="s">
        <v>1046</v>
      </c>
      <c r="E166" s="323"/>
      <c r="F166" s="297" t="s">
        <v>11</v>
      </c>
      <c r="G166" s="34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B167" s="67"/>
      <c r="D167" s="115" t="s">
        <v>808</v>
      </c>
      <c r="E167" s="118" t="s">
        <v>809</v>
      </c>
      <c r="F167" s="297" t="s">
        <v>11</v>
      </c>
      <c r="G167" s="299"/>
    </row>
    <row r="168">
      <c r="B168" s="67"/>
      <c r="D168" s="115" t="s">
        <v>943</v>
      </c>
      <c r="E168" s="118" t="s">
        <v>944</v>
      </c>
      <c r="F168" s="297" t="s">
        <v>11</v>
      </c>
      <c r="G168" s="299"/>
    </row>
    <row r="169">
      <c r="B169" s="67"/>
      <c r="D169" s="115" t="s">
        <v>1014</v>
      </c>
      <c r="E169" s="118" t="s">
        <v>948</v>
      </c>
      <c r="F169" s="297" t="s">
        <v>11</v>
      </c>
      <c r="G169" s="299"/>
    </row>
    <row r="170">
      <c r="B170" s="67"/>
      <c r="D170" s="115" t="s">
        <v>1016</v>
      </c>
      <c r="E170" s="78" t="s">
        <v>1017</v>
      </c>
      <c r="F170" s="297" t="s">
        <v>11</v>
      </c>
      <c r="G170" s="299"/>
    </row>
    <row r="171">
      <c r="B171" s="67"/>
      <c r="D171" s="115" t="s">
        <v>1018</v>
      </c>
      <c r="E171" s="78" t="s">
        <v>1019</v>
      </c>
      <c r="F171" s="297" t="s">
        <v>11</v>
      </c>
      <c r="G171" s="299"/>
    </row>
    <row r="172">
      <c r="B172" s="67"/>
      <c r="D172" s="115" t="s">
        <v>1056</v>
      </c>
      <c r="E172" s="118" t="s">
        <v>1057</v>
      </c>
      <c r="F172" s="297" t="s">
        <v>11</v>
      </c>
      <c r="G172" s="299"/>
    </row>
    <row r="173">
      <c r="A173" s="5"/>
      <c r="B173" s="67"/>
      <c r="C173" s="5"/>
      <c r="D173" s="119" t="s">
        <v>86</v>
      </c>
      <c r="E173" s="366"/>
      <c r="F173" s="297" t="s">
        <v>11</v>
      </c>
      <c r="G173" s="321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67"/>
      <c r="C174" s="5"/>
      <c r="D174" s="161"/>
      <c r="E174" s="377"/>
      <c r="F174" s="297" t="s">
        <v>11</v>
      </c>
      <c r="G174" s="18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67"/>
      <c r="C175" s="5"/>
      <c r="D175" s="350"/>
      <c r="E175" s="350"/>
      <c r="F175" s="297" t="s">
        <v>11</v>
      </c>
      <c r="G175" s="18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67"/>
      <c r="C176" s="5"/>
      <c r="D176" s="111" t="s">
        <v>1061</v>
      </c>
      <c r="E176" s="323"/>
      <c r="F176" s="297" t="s">
        <v>11</v>
      </c>
      <c r="G176" s="34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B177" s="67"/>
      <c r="D177" s="115" t="s">
        <v>808</v>
      </c>
      <c r="E177" s="118" t="s">
        <v>809</v>
      </c>
      <c r="F177" s="297" t="s">
        <v>11</v>
      </c>
      <c r="G177" s="299"/>
    </row>
    <row r="178">
      <c r="B178" s="67"/>
      <c r="D178" s="115" t="s">
        <v>943</v>
      </c>
      <c r="E178" s="118" t="s">
        <v>944</v>
      </c>
      <c r="F178" s="297" t="s">
        <v>11</v>
      </c>
      <c r="G178" s="299"/>
    </row>
    <row r="179">
      <c r="B179" s="67"/>
      <c r="D179" s="115" t="s">
        <v>1014</v>
      </c>
      <c r="E179" s="118" t="s">
        <v>948</v>
      </c>
      <c r="F179" s="297" t="s">
        <v>11</v>
      </c>
      <c r="G179" s="299"/>
    </row>
    <row r="180">
      <c r="B180" s="67"/>
      <c r="D180" s="115" t="s">
        <v>1016</v>
      </c>
      <c r="E180" s="78" t="s">
        <v>1017</v>
      </c>
      <c r="F180" s="297" t="s">
        <v>11</v>
      </c>
      <c r="G180" s="299"/>
    </row>
    <row r="181">
      <c r="B181" s="67"/>
      <c r="D181" s="115" t="s">
        <v>1018</v>
      </c>
      <c r="E181" s="78" t="s">
        <v>1019</v>
      </c>
      <c r="F181" s="297" t="s">
        <v>11</v>
      </c>
      <c r="G181" s="299"/>
    </row>
    <row r="182">
      <c r="B182" s="67"/>
      <c r="D182" s="115" t="s">
        <v>1065</v>
      </c>
      <c r="E182" s="118" t="s">
        <v>1066</v>
      </c>
      <c r="F182" s="297" t="s">
        <v>11</v>
      </c>
      <c r="G182" s="299"/>
    </row>
    <row r="183">
      <c r="A183" s="5"/>
      <c r="B183" s="67"/>
      <c r="C183" s="5"/>
      <c r="D183" s="119" t="s">
        <v>86</v>
      </c>
      <c r="E183" s="221"/>
      <c r="F183" s="297" t="s">
        <v>11</v>
      </c>
      <c r="G183" s="321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67"/>
      <c r="C184" s="5"/>
      <c r="D184" s="161"/>
      <c r="E184" s="350"/>
      <c r="F184" s="297" t="s">
        <v>11</v>
      </c>
      <c r="G184" s="18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67"/>
      <c r="C185" s="5"/>
      <c r="D185" s="377"/>
      <c r="E185" s="377"/>
      <c r="F185" s="297" t="s">
        <v>11</v>
      </c>
      <c r="G185" s="18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67"/>
      <c r="C186" s="5"/>
      <c r="D186" s="362" t="s">
        <v>1074</v>
      </c>
      <c r="E186" s="363"/>
      <c r="F186" s="297" t="s">
        <v>11</v>
      </c>
      <c r="G186" s="34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B187" s="67"/>
      <c r="D187" s="325" t="s">
        <v>808</v>
      </c>
      <c r="E187" s="177" t="s">
        <v>809</v>
      </c>
      <c r="F187" s="297" t="s">
        <v>11</v>
      </c>
      <c r="G187" s="299"/>
    </row>
    <row r="188">
      <c r="B188" s="67"/>
      <c r="D188" s="325" t="s">
        <v>943</v>
      </c>
      <c r="E188" s="177" t="s">
        <v>944</v>
      </c>
      <c r="F188" s="297" t="s">
        <v>11</v>
      </c>
      <c r="G188" s="299"/>
    </row>
    <row r="189">
      <c r="B189" s="67"/>
      <c r="D189" s="325" t="s">
        <v>1014</v>
      </c>
      <c r="E189" s="177" t="s">
        <v>948</v>
      </c>
      <c r="F189" s="297" t="s">
        <v>11</v>
      </c>
      <c r="G189" s="299"/>
    </row>
    <row r="190">
      <c r="B190" s="67"/>
      <c r="D190" s="325" t="s">
        <v>1016</v>
      </c>
      <c r="E190" s="416" t="s">
        <v>1017</v>
      </c>
      <c r="F190" s="297" t="s">
        <v>11</v>
      </c>
      <c r="G190" s="299"/>
    </row>
    <row r="191">
      <c r="B191" s="67"/>
      <c r="D191" s="325" t="s">
        <v>1089</v>
      </c>
      <c r="E191" s="177" t="s">
        <v>1090</v>
      </c>
      <c r="F191" s="297" t="s">
        <v>11</v>
      </c>
      <c r="G191" s="299"/>
    </row>
    <row r="192">
      <c r="B192" s="67"/>
      <c r="D192" s="325" t="s">
        <v>1093</v>
      </c>
      <c r="E192" s="177" t="s">
        <v>1094</v>
      </c>
      <c r="F192" s="297" t="s">
        <v>11</v>
      </c>
      <c r="G192" s="299"/>
    </row>
    <row r="193">
      <c r="B193" s="67"/>
      <c r="D193" s="325" t="s">
        <v>1098</v>
      </c>
      <c r="E193" s="177" t="s">
        <v>1100</v>
      </c>
      <c r="F193" s="297" t="s">
        <v>11</v>
      </c>
      <c r="G193" s="299"/>
    </row>
    <row r="194">
      <c r="A194" s="5"/>
      <c r="B194" s="67"/>
      <c r="C194" s="5"/>
      <c r="D194" s="365" t="s">
        <v>86</v>
      </c>
      <c r="E194" s="366"/>
      <c r="F194" s="297" t="s">
        <v>11</v>
      </c>
      <c r="G194" s="321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67"/>
      <c r="C195" s="5"/>
      <c r="D195" s="368"/>
      <c r="E195" s="377"/>
      <c r="F195" s="297" t="s">
        <v>11</v>
      </c>
      <c r="G195" s="18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67"/>
      <c r="C196" s="5"/>
      <c r="D196" s="368"/>
      <c r="E196" s="377"/>
      <c r="F196" s="297" t="s">
        <v>11</v>
      </c>
      <c r="G196" s="18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67"/>
      <c r="C197" s="5"/>
      <c r="D197" s="377"/>
      <c r="E197" s="377"/>
      <c r="F197" s="297" t="s">
        <v>11</v>
      </c>
      <c r="G197" s="18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67"/>
      <c r="C198" s="5"/>
      <c r="D198" s="362" t="s">
        <v>1117</v>
      </c>
      <c r="E198" s="363"/>
      <c r="F198" s="297" t="s">
        <v>11</v>
      </c>
      <c r="G198" s="34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B199" s="67"/>
      <c r="D199" s="325" t="s">
        <v>808</v>
      </c>
      <c r="E199" s="177" t="s">
        <v>809</v>
      </c>
      <c r="F199" s="297" t="s">
        <v>11</v>
      </c>
      <c r="G199" s="299"/>
    </row>
    <row r="200">
      <c r="B200" s="67"/>
      <c r="D200" s="325" t="s">
        <v>943</v>
      </c>
      <c r="E200" s="177" t="s">
        <v>944</v>
      </c>
      <c r="F200" s="297" t="s">
        <v>11</v>
      </c>
      <c r="G200" s="299"/>
    </row>
    <row r="201">
      <c r="B201" s="67"/>
      <c r="D201" s="325" t="s">
        <v>1123</v>
      </c>
      <c r="E201" s="177" t="s">
        <v>1124</v>
      </c>
      <c r="F201" s="297" t="s">
        <v>11</v>
      </c>
      <c r="G201" s="299"/>
    </row>
    <row r="202">
      <c r="B202" s="67"/>
      <c r="D202" s="325" t="s">
        <v>1016</v>
      </c>
      <c r="E202" s="416" t="s">
        <v>1017</v>
      </c>
      <c r="F202" s="297" t="s">
        <v>11</v>
      </c>
      <c r="G202" s="299"/>
    </row>
    <row r="203">
      <c r="B203" s="67"/>
      <c r="D203" s="325" t="s">
        <v>1089</v>
      </c>
      <c r="E203" s="177" t="s">
        <v>1128</v>
      </c>
      <c r="F203" s="297" t="s">
        <v>11</v>
      </c>
      <c r="G203" s="299"/>
    </row>
    <row r="204">
      <c r="B204" s="67"/>
      <c r="D204" s="325" t="s">
        <v>1093</v>
      </c>
      <c r="E204" s="177" t="s">
        <v>1094</v>
      </c>
      <c r="F204" s="297" t="s">
        <v>11</v>
      </c>
      <c r="G204" s="299"/>
    </row>
    <row r="205">
      <c r="B205" s="67"/>
      <c r="D205" s="325" t="s">
        <v>1098</v>
      </c>
      <c r="E205" s="177" t="s">
        <v>1100</v>
      </c>
      <c r="F205" s="297" t="s">
        <v>11</v>
      </c>
      <c r="G205" s="299"/>
    </row>
    <row r="206">
      <c r="B206" s="67"/>
      <c r="D206" s="325" t="s">
        <v>616</v>
      </c>
      <c r="E206" s="177" t="s">
        <v>1136</v>
      </c>
      <c r="F206" s="297" t="s">
        <v>11</v>
      </c>
      <c r="G206" s="299"/>
    </row>
    <row r="207">
      <c r="A207" s="5"/>
      <c r="B207" s="67"/>
      <c r="C207" s="5"/>
      <c r="D207" s="365" t="s">
        <v>86</v>
      </c>
      <c r="E207" s="366"/>
      <c r="F207" s="297" t="s">
        <v>11</v>
      </c>
      <c r="G207" s="321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67"/>
      <c r="C208" s="5"/>
      <c r="D208" s="368"/>
      <c r="E208" s="377"/>
      <c r="F208" s="297" t="s">
        <v>11</v>
      </c>
      <c r="G208" s="18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67"/>
      <c r="C209" s="5"/>
      <c r="D209" s="377"/>
      <c r="E209" s="377"/>
      <c r="F209" s="297" t="s">
        <v>11</v>
      </c>
      <c r="G209" s="18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67"/>
      <c r="C210" s="5"/>
      <c r="D210" s="362" t="s">
        <v>1148</v>
      </c>
      <c r="E210" s="363"/>
      <c r="F210" s="297" t="s">
        <v>11</v>
      </c>
      <c r="G210" s="34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B211" s="67"/>
      <c r="D211" s="325" t="s">
        <v>808</v>
      </c>
      <c r="E211" s="177" t="s">
        <v>809</v>
      </c>
      <c r="F211" s="297" t="s">
        <v>11</v>
      </c>
      <c r="G211" s="299"/>
    </row>
    <row r="212">
      <c r="B212" s="67"/>
      <c r="D212" s="325" t="s">
        <v>943</v>
      </c>
      <c r="E212" s="177" t="s">
        <v>944</v>
      </c>
      <c r="F212" s="297" t="s">
        <v>11</v>
      </c>
      <c r="G212" s="299"/>
    </row>
    <row r="213">
      <c r="B213" s="67"/>
      <c r="D213" s="325" t="s">
        <v>1152</v>
      </c>
      <c r="E213" s="177" t="s">
        <v>1153</v>
      </c>
      <c r="F213" s="297" t="s">
        <v>11</v>
      </c>
      <c r="G213" s="299"/>
    </row>
    <row r="214">
      <c r="B214" s="67"/>
      <c r="D214" s="325" t="s">
        <v>1016</v>
      </c>
      <c r="E214" s="416" t="s">
        <v>1017</v>
      </c>
      <c r="F214" s="297" t="s">
        <v>11</v>
      </c>
      <c r="G214" s="299"/>
    </row>
    <row r="215">
      <c r="B215" s="67"/>
      <c r="D215" s="325" t="s">
        <v>1089</v>
      </c>
      <c r="E215" s="177" t="s">
        <v>1156</v>
      </c>
      <c r="F215" s="297" t="s">
        <v>11</v>
      </c>
      <c r="G215" s="299"/>
    </row>
    <row r="216">
      <c r="B216" s="67"/>
      <c r="D216" s="325" t="s">
        <v>1093</v>
      </c>
      <c r="E216" s="177" t="s">
        <v>1094</v>
      </c>
      <c r="F216" s="297" t="s">
        <v>11</v>
      </c>
      <c r="G216" s="299"/>
    </row>
    <row r="217">
      <c r="B217" s="67"/>
      <c r="D217" s="325" t="s">
        <v>1098</v>
      </c>
      <c r="E217" s="177" t="s">
        <v>1100</v>
      </c>
      <c r="F217" s="297" t="s">
        <v>11</v>
      </c>
      <c r="G217" s="299"/>
    </row>
    <row r="218">
      <c r="B218" s="67"/>
      <c r="D218" s="325" t="s">
        <v>616</v>
      </c>
      <c r="E218" s="177" t="s">
        <v>1136</v>
      </c>
      <c r="F218" s="297" t="s">
        <v>11</v>
      </c>
      <c r="G218" s="299"/>
    </row>
    <row r="219">
      <c r="A219" s="5"/>
      <c r="B219" s="67"/>
      <c r="C219" s="5"/>
      <c r="D219" s="365" t="s">
        <v>86</v>
      </c>
      <c r="E219" s="366"/>
      <c r="F219" s="297" t="s">
        <v>11</v>
      </c>
      <c r="G219" s="321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67"/>
      <c r="C220" s="5"/>
      <c r="D220" s="368"/>
      <c r="E220" s="377"/>
      <c r="F220" s="297" t="s">
        <v>11</v>
      </c>
      <c r="G220" s="18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67"/>
      <c r="C221" s="5"/>
      <c r="D221" s="368"/>
      <c r="E221" s="377"/>
      <c r="F221" s="297" t="s">
        <v>11</v>
      </c>
      <c r="G221" s="18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67"/>
      <c r="C222" s="5"/>
      <c r="D222" s="377"/>
      <c r="E222" s="377"/>
      <c r="F222" s="297" t="s">
        <v>11</v>
      </c>
      <c r="G222" s="18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67"/>
      <c r="C223" s="5"/>
      <c r="D223" s="362" t="s">
        <v>1167</v>
      </c>
      <c r="E223" s="363"/>
      <c r="F223" s="297" t="s">
        <v>11</v>
      </c>
      <c r="G223" s="34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B224" s="67"/>
      <c r="D224" s="325" t="s">
        <v>808</v>
      </c>
      <c r="E224" s="177" t="s">
        <v>809</v>
      </c>
      <c r="F224" s="297" t="s">
        <v>11</v>
      </c>
      <c r="G224" s="299"/>
    </row>
    <row r="225">
      <c r="B225" s="67"/>
      <c r="D225" s="325" t="s">
        <v>943</v>
      </c>
      <c r="E225" s="177" t="s">
        <v>944</v>
      </c>
      <c r="F225" s="297" t="s">
        <v>11</v>
      </c>
      <c r="G225" s="299"/>
    </row>
    <row r="226">
      <c r="B226" s="67"/>
      <c r="D226" s="325" t="s">
        <v>952</v>
      </c>
      <c r="E226" s="177" t="s">
        <v>948</v>
      </c>
      <c r="F226" s="297" t="s">
        <v>11</v>
      </c>
      <c r="G226" s="299"/>
    </row>
    <row r="227">
      <c r="B227" s="67"/>
      <c r="D227" s="325" t="s">
        <v>954</v>
      </c>
      <c r="E227" s="177" t="s">
        <v>1017</v>
      </c>
      <c r="F227" s="297" t="s">
        <v>11</v>
      </c>
      <c r="G227" s="299"/>
    </row>
    <row r="228">
      <c r="B228" s="67"/>
      <c r="D228" s="325" t="s">
        <v>1177</v>
      </c>
      <c r="E228" s="177" t="s">
        <v>1179</v>
      </c>
      <c r="F228" s="297" t="s">
        <v>11</v>
      </c>
      <c r="G228" s="299"/>
    </row>
    <row r="229">
      <c r="A229" s="5"/>
      <c r="B229" s="67"/>
      <c r="C229" s="5"/>
      <c r="D229" s="365" t="s">
        <v>86</v>
      </c>
      <c r="E229" s="366"/>
      <c r="F229" s="297" t="s">
        <v>11</v>
      </c>
      <c r="G229" s="321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67"/>
      <c r="C230" s="5"/>
      <c r="D230" s="368"/>
      <c r="E230" s="377"/>
      <c r="F230" s="297" t="s">
        <v>11</v>
      </c>
      <c r="G230" s="18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67"/>
      <c r="C231" s="5"/>
      <c r="D231" s="368"/>
      <c r="E231" s="377"/>
      <c r="F231" s="297" t="s">
        <v>11</v>
      </c>
      <c r="G231" s="18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67"/>
      <c r="C232" s="5"/>
      <c r="D232" s="377"/>
      <c r="E232" s="377"/>
      <c r="F232" s="297" t="s">
        <v>11</v>
      </c>
      <c r="G232" s="18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67"/>
      <c r="C233" s="5"/>
      <c r="D233" s="362" t="s">
        <v>1186</v>
      </c>
      <c r="E233" s="363"/>
      <c r="F233" s="297" t="s">
        <v>11</v>
      </c>
      <c r="G233" s="34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B234" s="67"/>
      <c r="D234" s="325" t="s">
        <v>808</v>
      </c>
      <c r="E234" s="177" t="s">
        <v>809</v>
      </c>
      <c r="F234" s="297" t="s">
        <v>11</v>
      </c>
      <c r="G234" s="299"/>
    </row>
    <row r="235">
      <c r="B235" s="67"/>
      <c r="D235" s="325" t="s">
        <v>943</v>
      </c>
      <c r="E235" s="177" t="s">
        <v>944</v>
      </c>
      <c r="F235" s="297" t="s">
        <v>11</v>
      </c>
      <c r="G235" s="299"/>
    </row>
    <row r="236">
      <c r="B236" s="67"/>
      <c r="D236" s="325" t="s">
        <v>971</v>
      </c>
      <c r="E236" s="177" t="s">
        <v>1187</v>
      </c>
      <c r="F236" s="297" t="s">
        <v>11</v>
      </c>
      <c r="G236" s="299"/>
    </row>
    <row r="237">
      <c r="B237" s="67"/>
      <c r="D237" s="325" t="s">
        <v>954</v>
      </c>
      <c r="E237" s="177" t="s">
        <v>1017</v>
      </c>
      <c r="F237" s="297" t="s">
        <v>11</v>
      </c>
      <c r="G237" s="299"/>
    </row>
    <row r="238">
      <c r="B238" s="67"/>
      <c r="D238" s="325" t="s">
        <v>1177</v>
      </c>
      <c r="E238" s="177" t="s">
        <v>1179</v>
      </c>
      <c r="F238" s="297" t="s">
        <v>11</v>
      </c>
      <c r="G238" s="299"/>
    </row>
    <row r="239">
      <c r="A239" s="5"/>
      <c r="B239" s="67"/>
      <c r="C239" s="5"/>
      <c r="D239" s="365" t="s">
        <v>86</v>
      </c>
      <c r="E239" s="366"/>
      <c r="F239" s="297" t="s">
        <v>11</v>
      </c>
      <c r="G239" s="321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67"/>
      <c r="C240" s="5"/>
      <c r="D240" s="350"/>
      <c r="E240" s="350"/>
      <c r="F240" s="297" t="s">
        <v>11</v>
      </c>
      <c r="G240" s="18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67"/>
      <c r="C241" s="5"/>
      <c r="D241" s="350"/>
      <c r="E241" s="350"/>
      <c r="F241" s="297" t="s">
        <v>11</v>
      </c>
      <c r="G241" s="18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67"/>
      <c r="C242" s="5"/>
      <c r="D242" s="423" t="s">
        <v>1197</v>
      </c>
      <c r="E242" s="323"/>
      <c r="F242" s="297" t="s">
        <v>11</v>
      </c>
      <c r="G242" s="34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B243" s="67"/>
      <c r="D243" s="115" t="s">
        <v>808</v>
      </c>
      <c r="E243" s="118" t="s">
        <v>809</v>
      </c>
      <c r="F243" s="297" t="s">
        <v>11</v>
      </c>
      <c r="G243" s="299"/>
    </row>
    <row r="244">
      <c r="B244" s="67"/>
      <c r="D244" s="115" t="s">
        <v>943</v>
      </c>
      <c r="E244" s="118" t="s">
        <v>944</v>
      </c>
      <c r="F244" s="297" t="s">
        <v>11</v>
      </c>
      <c r="G244" s="299"/>
    </row>
    <row r="245">
      <c r="B245" s="67"/>
      <c r="D245" s="115" t="s">
        <v>1014</v>
      </c>
      <c r="E245" s="118" t="s">
        <v>948</v>
      </c>
      <c r="F245" s="297" t="s">
        <v>11</v>
      </c>
      <c r="G245" s="299"/>
    </row>
    <row r="246">
      <c r="B246" s="67"/>
      <c r="D246" s="115" t="s">
        <v>1016</v>
      </c>
      <c r="E246" s="78" t="s">
        <v>1017</v>
      </c>
      <c r="F246" s="297" t="s">
        <v>11</v>
      </c>
      <c r="G246" s="299"/>
    </row>
    <row r="247">
      <c r="B247" s="67"/>
      <c r="D247" s="115" t="s">
        <v>1177</v>
      </c>
      <c r="E247" s="118" t="s">
        <v>1179</v>
      </c>
      <c r="F247" s="297" t="s">
        <v>11</v>
      </c>
      <c r="G247" s="299"/>
    </row>
    <row r="248">
      <c r="A248" s="5"/>
      <c r="B248" s="67"/>
      <c r="C248" s="5"/>
      <c r="D248" s="424" t="s">
        <v>86</v>
      </c>
      <c r="E248" s="221"/>
      <c r="F248" s="297" t="s">
        <v>11</v>
      </c>
      <c r="G248" s="321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67"/>
      <c r="C249" s="5"/>
      <c r="D249" s="161"/>
      <c r="E249" s="350"/>
      <c r="F249" s="297" t="s">
        <v>11</v>
      </c>
      <c r="G249" s="18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67"/>
      <c r="C250" s="5"/>
      <c r="D250" s="350"/>
      <c r="E250" s="350"/>
      <c r="F250" s="297" t="s">
        <v>11</v>
      </c>
      <c r="G250" s="18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67"/>
      <c r="C251" s="5"/>
      <c r="D251" s="111" t="s">
        <v>1212</v>
      </c>
      <c r="E251" s="323"/>
      <c r="F251" s="297" t="s">
        <v>11</v>
      </c>
      <c r="G251" s="34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B252" s="67"/>
      <c r="D252" s="115" t="s">
        <v>808</v>
      </c>
      <c r="E252" s="118" t="s">
        <v>809</v>
      </c>
      <c r="F252" s="297" t="s">
        <v>11</v>
      </c>
      <c r="G252" s="299"/>
    </row>
    <row r="253">
      <c r="B253" s="67"/>
      <c r="D253" s="115" t="s">
        <v>943</v>
      </c>
      <c r="E253" s="118" t="s">
        <v>944</v>
      </c>
      <c r="F253" s="297" t="s">
        <v>11</v>
      </c>
      <c r="G253" s="299"/>
    </row>
    <row r="254">
      <c r="B254" s="67"/>
      <c r="D254" s="115" t="s">
        <v>1217</v>
      </c>
      <c r="E254" s="118" t="s">
        <v>1218</v>
      </c>
      <c r="F254" s="297" t="s">
        <v>11</v>
      </c>
      <c r="G254" s="299"/>
    </row>
    <row r="255">
      <c r="B255" s="67"/>
      <c r="D255" s="115" t="s">
        <v>1016</v>
      </c>
      <c r="E255" s="425" t="s">
        <v>1220</v>
      </c>
      <c r="F255" s="297" t="s">
        <v>11</v>
      </c>
      <c r="G255" s="299"/>
    </row>
    <row r="256">
      <c r="B256" s="67"/>
      <c r="D256" s="115" t="s">
        <v>1221</v>
      </c>
      <c r="E256" s="118" t="s">
        <v>1179</v>
      </c>
      <c r="F256" s="297" t="s">
        <v>11</v>
      </c>
      <c r="G256" s="299"/>
    </row>
    <row r="257">
      <c r="B257" s="103"/>
      <c r="D257" s="119" t="s">
        <v>86</v>
      </c>
      <c r="E257" s="221"/>
      <c r="F257" s="297" t="s">
        <v>11</v>
      </c>
      <c r="G257" s="321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</sheetData>
  <mergeCells count="1">
    <mergeCell ref="B18:B257"/>
  </mergeCells>
  <dataValidations>
    <dataValidation type="list" allowBlank="1" showErrorMessage="1" sqref="G19:G153 G155:G257">
      <formula1>"Pass,Fail,Update required,Not implemented,Not tested,Bug noticed"</formula1>
    </dataValidation>
    <dataValidation type="list" allowBlank="1" showErrorMessage="1" sqref="F19:F257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3" width="2.29"/>
    <col customWidth="1" min="4" max="4" width="67.29"/>
    <col customWidth="1" min="5" max="5" width="63.43"/>
    <col customWidth="1" min="6" max="6" width="25.71"/>
    <col customWidth="1" min="7" max="7" width="36.57"/>
    <col customWidth="1" min="8" max="8" width="78.29"/>
    <col customWidth="1" min="9" max="9" width="0.14"/>
  </cols>
  <sheetData>
    <row r="2" ht="15.0" customHeight="1">
      <c r="I2" s="5" t="s">
        <v>11</v>
      </c>
    </row>
    <row r="3" ht="15.0" customHeight="1">
      <c r="I3" s="5" t="s">
        <v>12</v>
      </c>
    </row>
    <row r="6" ht="20.25" customHeight="1">
      <c r="D6" s="7" t="s">
        <v>14</v>
      </c>
      <c r="E6" s="7"/>
      <c r="F6" s="7"/>
      <c r="G6" s="6"/>
    </row>
    <row r="7" ht="15.0" customHeight="1">
      <c r="D7" s="9"/>
      <c r="E7" s="12"/>
      <c r="F7" s="12"/>
      <c r="G7" s="13"/>
    </row>
    <row r="8" ht="15.0" customHeight="1">
      <c r="D8" s="16" t="s">
        <v>18</v>
      </c>
      <c r="E8" s="18"/>
      <c r="F8" s="20" t="s">
        <v>21</v>
      </c>
      <c r="G8" s="21"/>
    </row>
    <row r="9" ht="15.0" customHeight="1">
      <c r="D9" s="22"/>
      <c r="E9" s="23"/>
      <c r="F9" s="25" t="s">
        <v>24</v>
      </c>
      <c r="G9" s="26"/>
    </row>
    <row r="10" ht="15.0" customHeight="1">
      <c r="D10" s="27"/>
      <c r="E10" s="23"/>
      <c r="F10" s="15" t="s">
        <v>26</v>
      </c>
      <c r="G10" s="28" t="s">
        <v>107</v>
      </c>
    </row>
    <row r="11" ht="15.0" customHeight="1">
      <c r="D11" s="27" t="s">
        <v>28</v>
      </c>
      <c r="E11" s="23">
        <f>COUNTIF(F18:F172,I2)</f>
        <v>100</v>
      </c>
      <c r="F11" s="15" t="s">
        <v>30</v>
      </c>
      <c r="G11" s="28" t="s">
        <v>108</v>
      </c>
    </row>
    <row r="12" ht="15.0" customHeight="1">
      <c r="D12" s="27" t="s">
        <v>33</v>
      </c>
      <c r="E12" s="23">
        <f>COUNTIF(F19:F172,I3)</f>
        <v>1</v>
      </c>
      <c r="F12" s="14" t="s">
        <v>34</v>
      </c>
      <c r="G12" s="141">
        <f>(E11/E13)*100</f>
        <v>99.00990099</v>
      </c>
    </row>
    <row r="13" ht="15.0" customHeight="1">
      <c r="D13" s="50" t="s">
        <v>35</v>
      </c>
      <c r="E13" s="51">
        <f>SUM(E11:E12)</f>
        <v>101</v>
      </c>
      <c r="F13" s="52" t="s">
        <v>37</v>
      </c>
      <c r="G13" s="143">
        <f>(E12/E13)*100</f>
        <v>0.9900990099</v>
      </c>
    </row>
    <row r="16" ht="27.0" customHeight="1">
      <c r="A16" s="5"/>
      <c r="B16" s="408" t="s">
        <v>39</v>
      </c>
      <c r="C16" s="5"/>
      <c r="D16" s="409" t="s">
        <v>41</v>
      </c>
      <c r="E16" s="410" t="s">
        <v>42</v>
      </c>
      <c r="F16" s="410" t="s">
        <v>43</v>
      </c>
      <c r="G16" s="411" t="s">
        <v>44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8"/>
      <c r="C17" s="5"/>
      <c r="D17" s="9"/>
      <c r="E17" s="106"/>
      <c r="F17" s="107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390" t="s">
        <v>1053</v>
      </c>
      <c r="C18" s="5"/>
      <c r="D18" s="111" t="s">
        <v>1062</v>
      </c>
      <c r="E18" s="189"/>
      <c r="F18" s="296"/>
      <c r="G18" s="34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67"/>
      <c r="D19" s="413" t="s">
        <v>1067</v>
      </c>
      <c r="E19" s="414"/>
      <c r="F19" s="297" t="s">
        <v>11</v>
      </c>
      <c r="G19" s="299"/>
    </row>
    <row r="20">
      <c r="B20" s="67"/>
      <c r="D20" s="415" t="s">
        <v>1081</v>
      </c>
      <c r="E20" s="173" t="s">
        <v>1083</v>
      </c>
      <c r="F20" s="297" t="s">
        <v>11</v>
      </c>
      <c r="G20" s="299"/>
    </row>
    <row r="21">
      <c r="B21" s="67"/>
      <c r="D21" s="415" t="s">
        <v>1087</v>
      </c>
      <c r="E21" s="173" t="s">
        <v>1088</v>
      </c>
      <c r="F21" s="297" t="s">
        <v>11</v>
      </c>
      <c r="G21" s="299"/>
    </row>
    <row r="22">
      <c r="B22" s="67"/>
      <c r="D22" s="415" t="s">
        <v>1095</v>
      </c>
      <c r="E22" s="173" t="s">
        <v>1096</v>
      </c>
      <c r="F22" s="297" t="s">
        <v>11</v>
      </c>
      <c r="G22" s="299"/>
    </row>
    <row r="23">
      <c r="B23" s="67"/>
      <c r="D23" s="415" t="s">
        <v>1101</v>
      </c>
      <c r="E23" s="173" t="s">
        <v>1102</v>
      </c>
      <c r="F23" s="297" t="s">
        <v>11</v>
      </c>
      <c r="G23" s="299"/>
    </row>
    <row r="24">
      <c r="B24" s="67"/>
      <c r="D24" s="172" t="s">
        <v>985</v>
      </c>
      <c r="E24" s="173" t="s">
        <v>1107</v>
      </c>
      <c r="F24" s="297" t="s">
        <v>11</v>
      </c>
      <c r="G24" s="299"/>
    </row>
    <row r="25">
      <c r="B25" s="67"/>
      <c r="D25" s="117" t="s">
        <v>983</v>
      </c>
      <c r="E25" s="192" t="s">
        <v>1111</v>
      </c>
      <c r="F25" s="297" t="s">
        <v>11</v>
      </c>
      <c r="G25" s="299"/>
    </row>
    <row r="26">
      <c r="B26" s="67"/>
      <c r="D26" s="117" t="s">
        <v>1115</v>
      </c>
      <c r="E26" s="192" t="s">
        <v>1116</v>
      </c>
      <c r="F26" s="297" t="s">
        <v>11</v>
      </c>
      <c r="G26" s="299"/>
    </row>
    <row r="27">
      <c r="B27" s="67"/>
      <c r="D27" s="117" t="s">
        <v>1119</v>
      </c>
      <c r="E27" s="192" t="s">
        <v>1120</v>
      </c>
      <c r="F27" s="297" t="s">
        <v>11</v>
      </c>
      <c r="G27" s="299"/>
    </row>
    <row r="28">
      <c r="B28" s="67"/>
      <c r="D28" s="117" t="s">
        <v>1121</v>
      </c>
      <c r="E28" s="192" t="s">
        <v>1122</v>
      </c>
      <c r="F28" s="297"/>
      <c r="G28" s="299"/>
    </row>
    <row r="29">
      <c r="B29" s="67"/>
      <c r="D29" s="117" t="s">
        <v>1125</v>
      </c>
      <c r="E29" s="192" t="s">
        <v>1127</v>
      </c>
      <c r="F29" s="297" t="s">
        <v>11</v>
      </c>
      <c r="G29" s="299"/>
    </row>
    <row r="30">
      <c r="B30" s="67"/>
      <c r="D30" s="117" t="s">
        <v>1130</v>
      </c>
      <c r="E30" s="192" t="s">
        <v>1131</v>
      </c>
      <c r="F30" s="297" t="s">
        <v>11</v>
      </c>
      <c r="G30" s="299"/>
    </row>
    <row r="31">
      <c r="B31" s="67"/>
      <c r="D31" s="117" t="s">
        <v>1132</v>
      </c>
      <c r="E31" s="192" t="s">
        <v>1134</v>
      </c>
      <c r="F31" s="297"/>
      <c r="G31" s="299"/>
    </row>
    <row r="32">
      <c r="A32" s="5"/>
      <c r="B32" s="67"/>
      <c r="C32" s="5"/>
      <c r="D32" s="117" t="s">
        <v>1137</v>
      </c>
      <c r="E32" s="192" t="s">
        <v>1140</v>
      </c>
      <c r="F32" s="297" t="s">
        <v>11</v>
      </c>
      <c r="G32" s="299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67"/>
      <c r="C33" s="5"/>
      <c r="D33" s="117" t="s">
        <v>1143</v>
      </c>
      <c r="E33" s="192" t="s">
        <v>1145</v>
      </c>
      <c r="F33" s="297"/>
      <c r="G33" s="299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67"/>
      <c r="C34" s="5"/>
      <c r="D34" s="185" t="s">
        <v>86</v>
      </c>
      <c r="E34" s="246"/>
      <c r="F34" s="417"/>
      <c r="G34" s="32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67"/>
      <c r="C35" s="5"/>
      <c r="D35" s="418"/>
      <c r="E35" s="419"/>
      <c r="F35" s="382"/>
      <c r="G35" s="18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67"/>
      <c r="C36" s="5"/>
      <c r="D36" s="420" t="s">
        <v>1161</v>
      </c>
      <c r="E36" s="323" t="s">
        <v>1163</v>
      </c>
      <c r="F36" s="296" t="s">
        <v>11</v>
      </c>
      <c r="G36" s="34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B37" s="67"/>
      <c r="D37" s="117" t="s">
        <v>1168</v>
      </c>
      <c r="E37" s="118" t="s">
        <v>1171</v>
      </c>
      <c r="F37" s="297" t="s">
        <v>11</v>
      </c>
      <c r="G37" s="299"/>
    </row>
    <row r="38">
      <c r="B38" s="67"/>
      <c r="D38" s="115" t="s">
        <v>1174</v>
      </c>
      <c r="E38" s="118" t="s">
        <v>1175</v>
      </c>
      <c r="F38" s="297" t="s">
        <v>11</v>
      </c>
      <c r="G38" s="299"/>
    </row>
    <row r="39">
      <c r="B39" s="67"/>
      <c r="D39" s="117" t="s">
        <v>1176</v>
      </c>
      <c r="E39" s="118" t="s">
        <v>1178</v>
      </c>
      <c r="F39" s="297" t="s">
        <v>11</v>
      </c>
      <c r="G39" s="299"/>
    </row>
    <row r="40">
      <c r="B40" s="67"/>
      <c r="D40" s="117" t="s">
        <v>490</v>
      </c>
      <c r="E40" s="192" t="s">
        <v>1180</v>
      </c>
      <c r="F40" s="297" t="s">
        <v>11</v>
      </c>
      <c r="G40" s="299"/>
    </row>
    <row r="41">
      <c r="A41" s="5"/>
      <c r="B41" s="67"/>
      <c r="C41" s="5"/>
      <c r="D41" s="117" t="s">
        <v>574</v>
      </c>
      <c r="E41" s="192" t="s">
        <v>1183</v>
      </c>
      <c r="F41" s="297" t="s">
        <v>11</v>
      </c>
      <c r="G41" s="299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67"/>
      <c r="C42" s="5"/>
      <c r="D42" s="185" t="s">
        <v>86</v>
      </c>
      <c r="E42" s="422"/>
      <c r="F42" s="417"/>
      <c r="G42" s="321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67"/>
      <c r="C43" s="5"/>
      <c r="D43" s="393"/>
      <c r="E43" s="393"/>
      <c r="F43" s="382"/>
      <c r="G43" s="18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67"/>
      <c r="C44" s="5"/>
      <c r="D44" s="394" t="s">
        <v>1192</v>
      </c>
      <c r="E44" s="323"/>
      <c r="F44" s="296"/>
      <c r="G44" s="346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B45" s="67"/>
      <c r="D45" s="117" t="s">
        <v>1081</v>
      </c>
      <c r="E45" s="118" t="s">
        <v>1083</v>
      </c>
      <c r="F45" s="297" t="s">
        <v>11</v>
      </c>
      <c r="G45" s="299"/>
    </row>
    <row r="46">
      <c r="B46" s="67"/>
      <c r="D46" s="117" t="s">
        <v>1199</v>
      </c>
      <c r="E46" s="118" t="s">
        <v>1201</v>
      </c>
      <c r="F46" s="297" t="s">
        <v>11</v>
      </c>
      <c r="G46" s="299"/>
    </row>
    <row r="47">
      <c r="B47" s="67"/>
      <c r="D47" s="117" t="s">
        <v>1204</v>
      </c>
      <c r="E47" s="118" t="s">
        <v>1205</v>
      </c>
      <c r="F47" s="297" t="s">
        <v>11</v>
      </c>
      <c r="G47" s="299"/>
    </row>
    <row r="48">
      <c r="B48" s="67"/>
      <c r="D48" s="117" t="s">
        <v>1095</v>
      </c>
      <c r="E48" s="118" t="s">
        <v>1096</v>
      </c>
      <c r="F48" s="297" t="s">
        <v>11</v>
      </c>
      <c r="G48" s="299"/>
    </row>
    <row r="49">
      <c r="B49" s="67"/>
      <c r="D49" s="117" t="s">
        <v>1101</v>
      </c>
      <c r="E49" s="118" t="s">
        <v>1102</v>
      </c>
      <c r="F49" s="297" t="s">
        <v>11</v>
      </c>
      <c r="G49" s="299"/>
    </row>
    <row r="50">
      <c r="A50" s="5"/>
      <c r="B50" s="67"/>
      <c r="C50" s="5"/>
      <c r="D50" s="115" t="s">
        <v>985</v>
      </c>
      <c r="E50" s="118" t="s">
        <v>1107</v>
      </c>
      <c r="F50" s="297" t="s">
        <v>11</v>
      </c>
      <c r="G50" s="299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67"/>
      <c r="C51" s="5"/>
      <c r="D51" s="117" t="s">
        <v>983</v>
      </c>
      <c r="E51" s="192" t="s">
        <v>1111</v>
      </c>
      <c r="F51" s="297" t="s">
        <v>11</v>
      </c>
      <c r="G51" s="299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67"/>
      <c r="C52" s="5"/>
      <c r="D52" s="117" t="s">
        <v>1115</v>
      </c>
      <c r="E52" s="192" t="s">
        <v>1116</v>
      </c>
      <c r="F52" s="297" t="s">
        <v>11</v>
      </c>
      <c r="G52" s="299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67"/>
      <c r="C53" s="5"/>
      <c r="D53" s="117" t="s">
        <v>1119</v>
      </c>
      <c r="E53" s="192" t="s">
        <v>1120</v>
      </c>
      <c r="F53" s="297" t="s">
        <v>11</v>
      </c>
      <c r="G53" s="299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67"/>
      <c r="C54" s="5"/>
      <c r="D54" s="117" t="s">
        <v>1121</v>
      </c>
      <c r="E54" s="192" t="s">
        <v>1122</v>
      </c>
      <c r="F54" s="297" t="s">
        <v>11</v>
      </c>
      <c r="G54" s="299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67"/>
      <c r="C55" s="5"/>
      <c r="D55" s="117" t="s">
        <v>1125</v>
      </c>
      <c r="E55" s="192" t="s">
        <v>1127</v>
      </c>
      <c r="F55" s="297" t="s">
        <v>11</v>
      </c>
      <c r="G55" s="299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67"/>
      <c r="C56" s="5"/>
      <c r="D56" s="117" t="s">
        <v>1130</v>
      </c>
      <c r="E56" s="192" t="s">
        <v>1131</v>
      </c>
      <c r="F56" s="297" t="s">
        <v>11</v>
      </c>
      <c r="G56" s="299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67"/>
      <c r="C57" s="5"/>
      <c r="D57" s="117" t="s">
        <v>1132</v>
      </c>
      <c r="E57" s="192" t="s">
        <v>1134</v>
      </c>
      <c r="F57" s="297" t="s">
        <v>11</v>
      </c>
      <c r="G57" s="299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67"/>
      <c r="C58" s="5"/>
      <c r="D58" s="117" t="s">
        <v>1137</v>
      </c>
      <c r="E58" s="192" t="s">
        <v>1140</v>
      </c>
      <c r="F58" s="297"/>
      <c r="G58" s="299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67"/>
      <c r="C59" s="5"/>
      <c r="D59" s="117" t="s">
        <v>1143</v>
      </c>
      <c r="E59" s="192" t="s">
        <v>1145</v>
      </c>
      <c r="F59" s="297" t="s">
        <v>11</v>
      </c>
      <c r="G59" s="299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67"/>
      <c r="C60" s="5"/>
      <c r="D60" s="185" t="s">
        <v>603</v>
      </c>
      <c r="E60" s="246"/>
      <c r="F60" s="417"/>
      <c r="G60" s="321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67"/>
      <c r="C61" s="5"/>
      <c r="D61" s="418"/>
      <c r="E61" s="419"/>
      <c r="F61" s="382"/>
      <c r="G61" s="18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67"/>
      <c r="C62" s="5"/>
      <c r="D62" s="420" t="s">
        <v>1161</v>
      </c>
      <c r="E62" s="323" t="s">
        <v>1163</v>
      </c>
      <c r="F62" s="296" t="s">
        <v>11</v>
      </c>
      <c r="G62" s="346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B63" s="67"/>
      <c r="D63" s="117" t="s">
        <v>1168</v>
      </c>
      <c r="E63" s="118" t="s">
        <v>1171</v>
      </c>
      <c r="F63" s="297" t="s">
        <v>11</v>
      </c>
      <c r="G63" s="299"/>
    </row>
    <row r="64">
      <c r="B64" s="67"/>
      <c r="D64" s="115" t="s">
        <v>1174</v>
      </c>
      <c r="E64" s="118" t="s">
        <v>1175</v>
      </c>
      <c r="F64" s="297" t="s">
        <v>11</v>
      </c>
      <c r="G64" s="299"/>
    </row>
    <row r="65">
      <c r="B65" s="67"/>
      <c r="D65" s="117" t="s">
        <v>1176</v>
      </c>
      <c r="E65" s="118" t="s">
        <v>1178</v>
      </c>
      <c r="F65" s="297" t="s">
        <v>11</v>
      </c>
      <c r="G65" s="299"/>
    </row>
    <row r="66">
      <c r="B66" s="67"/>
      <c r="D66" s="117" t="s">
        <v>490</v>
      </c>
      <c r="E66" s="192" t="s">
        <v>1241</v>
      </c>
      <c r="F66" s="297" t="s">
        <v>11</v>
      </c>
      <c r="G66" s="299"/>
    </row>
    <row r="67">
      <c r="A67" s="5"/>
      <c r="B67" s="67"/>
      <c r="C67" s="5"/>
      <c r="D67" s="117" t="s">
        <v>574</v>
      </c>
      <c r="E67" s="192" t="s">
        <v>1183</v>
      </c>
      <c r="F67" s="297" t="s">
        <v>11</v>
      </c>
      <c r="G67" s="299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67"/>
      <c r="C68" s="5"/>
      <c r="D68" s="185" t="s">
        <v>86</v>
      </c>
      <c r="E68" s="246"/>
      <c r="F68" s="417"/>
      <c r="G68" s="32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67"/>
      <c r="C69" s="5"/>
      <c r="D69" s="426"/>
      <c r="E69" s="427"/>
      <c r="F69" s="382"/>
      <c r="G69" s="18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67"/>
      <c r="C70" s="5"/>
      <c r="D70" s="394" t="s">
        <v>1256</v>
      </c>
      <c r="E70" s="323"/>
      <c r="F70" s="296"/>
      <c r="G70" s="34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B71" s="67"/>
      <c r="D71" s="115" t="s">
        <v>1258</v>
      </c>
      <c r="E71" s="118" t="s">
        <v>1259</v>
      </c>
      <c r="F71" s="297" t="s">
        <v>11</v>
      </c>
      <c r="G71" s="299"/>
    </row>
    <row r="72">
      <c r="B72" s="67"/>
      <c r="D72" s="115" t="s">
        <v>1262</v>
      </c>
      <c r="E72" s="118" t="s">
        <v>1263</v>
      </c>
      <c r="F72" s="297" t="s">
        <v>11</v>
      </c>
      <c r="G72" s="299"/>
    </row>
    <row r="73">
      <c r="B73" s="67"/>
      <c r="D73" s="115" t="s">
        <v>1264</v>
      </c>
      <c r="E73" s="118" t="s">
        <v>1265</v>
      </c>
      <c r="F73" s="297" t="s">
        <v>11</v>
      </c>
      <c r="G73" s="299"/>
    </row>
    <row r="74">
      <c r="B74" s="67"/>
      <c r="D74" s="115" t="s">
        <v>1266</v>
      </c>
      <c r="E74" s="118" t="s">
        <v>1267</v>
      </c>
      <c r="F74" s="297" t="s">
        <v>11</v>
      </c>
      <c r="G74" s="299"/>
    </row>
    <row r="75">
      <c r="B75" s="67"/>
      <c r="D75" s="115" t="s">
        <v>1268</v>
      </c>
      <c r="E75" s="118" t="s">
        <v>1270</v>
      </c>
      <c r="F75" s="297" t="s">
        <v>11</v>
      </c>
      <c r="G75" s="299"/>
    </row>
    <row r="76">
      <c r="B76" s="67"/>
      <c r="D76" s="115" t="s">
        <v>833</v>
      </c>
      <c r="E76" s="118" t="s">
        <v>1271</v>
      </c>
      <c r="F76" s="297" t="s">
        <v>11</v>
      </c>
      <c r="G76" s="299"/>
    </row>
    <row r="77">
      <c r="B77" s="67"/>
      <c r="D77" s="117" t="s">
        <v>1273</v>
      </c>
      <c r="E77" s="118" t="s">
        <v>1274</v>
      </c>
      <c r="F77" s="297" t="s">
        <v>11</v>
      </c>
      <c r="G77" s="299"/>
    </row>
    <row r="78">
      <c r="B78" s="67"/>
      <c r="D78" s="117" t="s">
        <v>1277</v>
      </c>
      <c r="E78" s="118" t="s">
        <v>1278</v>
      </c>
      <c r="F78" s="297" t="s">
        <v>11</v>
      </c>
      <c r="G78" s="299" t="s">
        <v>1281</v>
      </c>
      <c r="H78" s="5"/>
    </row>
    <row r="79">
      <c r="B79" s="67"/>
      <c r="D79" s="117" t="s">
        <v>1282</v>
      </c>
      <c r="E79" s="118" t="s">
        <v>1283</v>
      </c>
      <c r="F79" s="297" t="s">
        <v>11</v>
      </c>
      <c r="G79" s="299"/>
    </row>
    <row r="80">
      <c r="B80" s="67"/>
      <c r="D80" s="117" t="s">
        <v>1284</v>
      </c>
      <c r="E80" s="118" t="s">
        <v>1285</v>
      </c>
      <c r="F80" s="297" t="s">
        <v>11</v>
      </c>
      <c r="G80" s="299"/>
    </row>
    <row r="81">
      <c r="B81" s="67"/>
      <c r="D81" s="117" t="s">
        <v>1288</v>
      </c>
      <c r="E81" s="118" t="s">
        <v>1289</v>
      </c>
      <c r="F81" s="297" t="s">
        <v>11</v>
      </c>
      <c r="G81" s="299"/>
    </row>
    <row r="82">
      <c r="B82" s="67"/>
      <c r="D82" s="117" t="s">
        <v>1292</v>
      </c>
      <c r="E82" s="118" t="s">
        <v>1293</v>
      </c>
      <c r="F82" s="297" t="s">
        <v>11</v>
      </c>
      <c r="G82" s="299"/>
    </row>
    <row r="83">
      <c r="B83" s="67"/>
      <c r="D83" s="117" t="s">
        <v>1296</v>
      </c>
      <c r="E83" s="118" t="s">
        <v>1297</v>
      </c>
      <c r="F83" s="297" t="s">
        <v>11</v>
      </c>
      <c r="G83" s="299"/>
    </row>
    <row r="84">
      <c r="A84" s="5"/>
      <c r="B84" s="67"/>
      <c r="C84" s="5"/>
      <c r="D84" s="117" t="s">
        <v>1300</v>
      </c>
      <c r="E84" s="118" t="s">
        <v>1301</v>
      </c>
      <c r="F84" s="297" t="s">
        <v>11</v>
      </c>
      <c r="G84" s="299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67"/>
      <c r="C85" s="5"/>
      <c r="D85" s="117" t="s">
        <v>1306</v>
      </c>
      <c r="E85" s="118" t="s">
        <v>1307</v>
      </c>
      <c r="F85" s="297" t="s">
        <v>11</v>
      </c>
      <c r="G85" s="299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67"/>
      <c r="C86" s="5"/>
      <c r="D86" s="117" t="s">
        <v>1311</v>
      </c>
      <c r="E86" s="118" t="s">
        <v>1313</v>
      </c>
      <c r="F86" s="297" t="s">
        <v>11</v>
      </c>
      <c r="G86" s="29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67"/>
      <c r="C87" s="5"/>
      <c r="D87" s="117" t="s">
        <v>1314</v>
      </c>
      <c r="E87" s="118" t="s">
        <v>1315</v>
      </c>
      <c r="F87" s="297" t="s">
        <v>11</v>
      </c>
      <c r="G87" s="299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67"/>
      <c r="C88" s="5"/>
      <c r="D88" s="117" t="s">
        <v>1318</v>
      </c>
      <c r="E88" s="118" t="s">
        <v>1319</v>
      </c>
      <c r="F88" s="297" t="s">
        <v>11</v>
      </c>
      <c r="G88" s="299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B89" s="67"/>
      <c r="D89" s="117" t="s">
        <v>1322</v>
      </c>
      <c r="E89" s="118" t="s">
        <v>1323</v>
      </c>
      <c r="F89" s="297" t="s">
        <v>11</v>
      </c>
      <c r="G89" s="299"/>
    </row>
    <row r="90">
      <c r="B90" s="67"/>
      <c r="D90" s="117" t="s">
        <v>1326</v>
      </c>
      <c r="E90" s="118" t="s">
        <v>1327</v>
      </c>
      <c r="F90" s="297" t="s">
        <v>11</v>
      </c>
      <c r="G90" s="299"/>
    </row>
    <row r="91">
      <c r="B91" s="67"/>
      <c r="D91" s="117" t="s">
        <v>1330</v>
      </c>
      <c r="E91" s="192" t="s">
        <v>1331</v>
      </c>
      <c r="F91" s="297" t="s">
        <v>11</v>
      </c>
      <c r="G91" s="299" t="s">
        <v>1281</v>
      </c>
      <c r="H91" s="5"/>
    </row>
    <row r="92">
      <c r="B92" s="67"/>
      <c r="D92" s="117" t="s">
        <v>1332</v>
      </c>
      <c r="E92" s="118" t="s">
        <v>1333</v>
      </c>
      <c r="F92" s="297" t="s">
        <v>11</v>
      </c>
      <c r="G92" s="299"/>
    </row>
    <row r="93">
      <c r="B93" s="67"/>
      <c r="D93" s="117" t="s">
        <v>839</v>
      </c>
      <c r="E93" s="118" t="s">
        <v>1335</v>
      </c>
      <c r="F93" s="297" t="s">
        <v>11</v>
      </c>
      <c r="G93" s="299"/>
    </row>
    <row r="94">
      <c r="B94" s="67"/>
      <c r="D94" s="115" t="s">
        <v>947</v>
      </c>
      <c r="E94" s="118" t="s">
        <v>948</v>
      </c>
      <c r="F94" s="297" t="s">
        <v>11</v>
      </c>
      <c r="G94" s="299"/>
    </row>
    <row r="95">
      <c r="A95" s="5"/>
      <c r="B95" s="67"/>
      <c r="C95" s="5"/>
      <c r="D95" s="119" t="s">
        <v>814</v>
      </c>
      <c r="E95" s="221"/>
      <c r="F95" s="417"/>
      <c r="G95" s="321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67"/>
      <c r="C96" s="5"/>
      <c r="D96" s="203"/>
      <c r="E96" s="100"/>
      <c r="F96" s="382"/>
      <c r="G96" s="18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67"/>
      <c r="C97" s="5"/>
      <c r="D97" s="362" t="s">
        <v>1349</v>
      </c>
      <c r="E97" s="363"/>
      <c r="F97" s="296"/>
      <c r="G97" s="34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B98" s="67"/>
      <c r="D98" s="117" t="s">
        <v>1081</v>
      </c>
      <c r="E98" s="118" t="s">
        <v>1083</v>
      </c>
      <c r="F98" s="192" t="s">
        <v>11</v>
      </c>
      <c r="G98" s="430"/>
      <c r="H98" s="431"/>
    </row>
    <row r="99">
      <c r="B99" s="67"/>
      <c r="D99" s="117" t="s">
        <v>1199</v>
      </c>
      <c r="E99" s="118" t="s">
        <v>1201</v>
      </c>
      <c r="F99" s="192" t="s">
        <v>11</v>
      </c>
      <c r="G99" s="430"/>
      <c r="H99" s="431"/>
    </row>
    <row r="100">
      <c r="B100" s="67"/>
      <c r="D100" s="117" t="s">
        <v>633</v>
      </c>
      <c r="E100" s="118" t="s">
        <v>1359</v>
      </c>
      <c r="F100" s="192" t="s">
        <v>11</v>
      </c>
      <c r="G100" s="430"/>
      <c r="H100" s="431"/>
    </row>
    <row r="101">
      <c r="B101" s="67"/>
      <c r="D101" s="117" t="s">
        <v>1360</v>
      </c>
      <c r="E101" s="118" t="s">
        <v>1361</v>
      </c>
      <c r="F101" s="192" t="s">
        <v>11</v>
      </c>
      <c r="G101" s="430"/>
      <c r="H101" s="431"/>
    </row>
    <row r="102">
      <c r="A102" s="5"/>
      <c r="B102" s="67"/>
      <c r="C102" s="5"/>
      <c r="D102" s="115" t="s">
        <v>1362</v>
      </c>
      <c r="E102" s="118" t="s">
        <v>1363</v>
      </c>
      <c r="F102" s="192" t="s">
        <v>12</v>
      </c>
      <c r="G102" s="430" t="s">
        <v>12</v>
      </c>
      <c r="H102" s="43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67"/>
      <c r="C103" s="5"/>
      <c r="D103" s="185" t="s">
        <v>86</v>
      </c>
      <c r="E103" s="432"/>
      <c r="F103" s="432"/>
      <c r="G103" s="433"/>
      <c r="H103" s="43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67"/>
      <c r="C104" s="5"/>
      <c r="D104" s="434"/>
      <c r="E104" s="435"/>
      <c r="F104" s="436"/>
      <c r="G104" s="43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67"/>
      <c r="C105" s="5"/>
      <c r="D105" s="362" t="s">
        <v>1371</v>
      </c>
      <c r="E105" s="363"/>
      <c r="F105" s="296"/>
      <c r="G105" s="34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B106" s="67"/>
      <c r="D106" s="117" t="s">
        <v>1081</v>
      </c>
      <c r="E106" s="118" t="s">
        <v>1083</v>
      </c>
      <c r="F106" s="297" t="s">
        <v>11</v>
      </c>
      <c r="G106" s="299"/>
    </row>
    <row r="107">
      <c r="B107" s="67"/>
      <c r="D107" s="117" t="s">
        <v>1199</v>
      </c>
      <c r="E107" s="118" t="s">
        <v>1201</v>
      </c>
      <c r="F107" s="297" t="s">
        <v>11</v>
      </c>
      <c r="G107" s="299"/>
    </row>
    <row r="108">
      <c r="B108" s="67"/>
      <c r="D108" s="117" t="s">
        <v>633</v>
      </c>
      <c r="E108" s="118" t="s">
        <v>1359</v>
      </c>
      <c r="F108" s="297" t="s">
        <v>11</v>
      </c>
      <c r="G108" s="299"/>
    </row>
    <row r="109">
      <c r="B109" s="67"/>
      <c r="D109" s="117" t="s">
        <v>1360</v>
      </c>
      <c r="E109" s="118" t="s">
        <v>1361</v>
      </c>
      <c r="F109" s="297" t="s">
        <v>11</v>
      </c>
      <c r="G109" s="299"/>
    </row>
    <row r="110">
      <c r="A110" s="5"/>
      <c r="B110" s="67"/>
      <c r="C110" s="5"/>
      <c r="D110" s="115" t="s">
        <v>1362</v>
      </c>
      <c r="E110" s="118" t="s">
        <v>1363</v>
      </c>
      <c r="F110" s="297"/>
      <c r="G110" s="299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67"/>
      <c r="C111" s="5"/>
      <c r="D111" s="185" t="s">
        <v>86</v>
      </c>
      <c r="E111" s="432"/>
      <c r="F111" s="417"/>
      <c r="G111" s="321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67"/>
      <c r="C112" s="5"/>
      <c r="D112" s="438"/>
      <c r="E112" s="227"/>
      <c r="F112" s="439"/>
      <c r="G112" s="20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67"/>
      <c r="C113" s="5"/>
      <c r="D113" s="111" t="s">
        <v>1386</v>
      </c>
      <c r="E113" s="323"/>
      <c r="F113" s="296"/>
      <c r="G113" s="34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B114" s="67"/>
      <c r="D114" s="117" t="s">
        <v>1081</v>
      </c>
      <c r="E114" s="118" t="s">
        <v>1083</v>
      </c>
      <c r="F114" s="297" t="s">
        <v>11</v>
      </c>
      <c r="G114" s="299"/>
    </row>
    <row r="115">
      <c r="B115" s="67"/>
      <c r="D115" s="117" t="s">
        <v>1388</v>
      </c>
      <c r="E115" s="118" t="s">
        <v>1201</v>
      </c>
      <c r="F115" s="297" t="s">
        <v>11</v>
      </c>
      <c r="G115" s="299"/>
    </row>
    <row r="116">
      <c r="B116" s="67"/>
      <c r="D116" s="117" t="s">
        <v>633</v>
      </c>
      <c r="E116" s="118" t="s">
        <v>1359</v>
      </c>
      <c r="F116" s="297" t="s">
        <v>11</v>
      </c>
      <c r="G116" s="299"/>
    </row>
    <row r="117">
      <c r="B117" s="67"/>
      <c r="D117" s="117" t="s">
        <v>1389</v>
      </c>
      <c r="E117" s="118" t="s">
        <v>1390</v>
      </c>
      <c r="F117" s="297" t="s">
        <v>11</v>
      </c>
      <c r="G117" s="299"/>
    </row>
    <row r="118">
      <c r="B118" s="67"/>
      <c r="D118" s="115" t="s">
        <v>1393</v>
      </c>
      <c r="E118" s="118" t="s">
        <v>1394</v>
      </c>
      <c r="F118" s="297" t="s">
        <v>11</v>
      </c>
      <c r="G118" s="299"/>
    </row>
    <row r="119">
      <c r="B119" s="67"/>
      <c r="D119" s="115" t="s">
        <v>1395</v>
      </c>
      <c r="E119" s="118" t="s">
        <v>1397</v>
      </c>
      <c r="F119" s="297" t="s">
        <v>11</v>
      </c>
      <c r="G119" s="299"/>
    </row>
    <row r="120">
      <c r="A120" s="5"/>
      <c r="B120" s="67"/>
      <c r="C120" s="5"/>
      <c r="D120" s="185" t="s">
        <v>86</v>
      </c>
      <c r="E120" s="432"/>
      <c r="F120" s="417"/>
      <c r="G120" s="321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67"/>
      <c r="C121" s="5"/>
      <c r="D121" s="370"/>
      <c r="E121" s="370"/>
      <c r="F121" s="439"/>
      <c r="G121" s="20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67"/>
      <c r="C122" s="5"/>
      <c r="D122" s="362" t="s">
        <v>1407</v>
      </c>
      <c r="E122" s="363"/>
      <c r="F122" s="296"/>
      <c r="G122" s="34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B123" s="67"/>
      <c r="D123" s="440" t="s">
        <v>1081</v>
      </c>
      <c r="E123" s="441" t="s">
        <v>1083</v>
      </c>
      <c r="F123" s="297" t="s">
        <v>11</v>
      </c>
      <c r="G123" s="299"/>
    </row>
    <row r="124">
      <c r="B124" s="67"/>
      <c r="D124" s="440" t="s">
        <v>1199</v>
      </c>
      <c r="E124" s="441" t="s">
        <v>1201</v>
      </c>
      <c r="F124" s="297" t="s">
        <v>11</v>
      </c>
      <c r="G124" s="299"/>
    </row>
    <row r="125">
      <c r="B125" s="67"/>
      <c r="D125" s="440" t="s">
        <v>633</v>
      </c>
      <c r="E125" s="441" t="s">
        <v>1359</v>
      </c>
      <c r="F125" s="297" t="s">
        <v>11</v>
      </c>
      <c r="G125" s="299"/>
    </row>
    <row r="126">
      <c r="B126" s="67"/>
      <c r="D126" s="440" t="s">
        <v>1389</v>
      </c>
      <c r="E126" s="441" t="s">
        <v>1415</v>
      </c>
      <c r="F126" s="297" t="s">
        <v>11</v>
      </c>
      <c r="G126" s="299"/>
    </row>
    <row r="127">
      <c r="B127" s="67"/>
      <c r="D127" s="443" t="s">
        <v>1417</v>
      </c>
      <c r="E127" s="441" t="s">
        <v>1418</v>
      </c>
      <c r="F127" s="297" t="s">
        <v>11</v>
      </c>
      <c r="G127" s="299"/>
    </row>
    <row r="128">
      <c r="B128" s="67"/>
      <c r="D128" s="443" t="s">
        <v>559</v>
      </c>
      <c r="E128" s="441" t="s">
        <v>1419</v>
      </c>
      <c r="F128" s="297" t="s">
        <v>11</v>
      </c>
      <c r="G128" s="299" t="s">
        <v>1420</v>
      </c>
      <c r="H128" s="5"/>
    </row>
    <row r="129">
      <c r="B129" s="67"/>
      <c r="D129" s="443" t="s">
        <v>1421</v>
      </c>
      <c r="E129" s="441" t="s">
        <v>1422</v>
      </c>
      <c r="F129" s="297" t="s">
        <v>11</v>
      </c>
      <c r="G129" s="299"/>
    </row>
    <row r="130">
      <c r="B130" s="67"/>
      <c r="D130" s="443" t="s">
        <v>1424</v>
      </c>
      <c r="E130" s="441" t="s">
        <v>1425</v>
      </c>
      <c r="F130" s="297" t="s">
        <v>11</v>
      </c>
      <c r="G130" s="299"/>
    </row>
    <row r="131">
      <c r="A131" s="5"/>
      <c r="B131" s="67"/>
      <c r="C131" s="5"/>
      <c r="D131" s="443" t="s">
        <v>1428</v>
      </c>
      <c r="E131" s="441" t="s">
        <v>1429</v>
      </c>
      <c r="F131" s="297" t="s">
        <v>11</v>
      </c>
      <c r="G131" s="29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67"/>
      <c r="C132" s="5"/>
      <c r="D132" s="444" t="s">
        <v>86</v>
      </c>
      <c r="E132" s="445"/>
      <c r="F132" s="156"/>
      <c r="G132" s="10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67"/>
      <c r="C133" s="5"/>
      <c r="D133" s="376"/>
      <c r="E133" s="377"/>
      <c r="F133" s="382"/>
      <c r="G133" s="18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67"/>
      <c r="C134" s="5"/>
      <c r="D134" s="377"/>
      <c r="E134" s="377"/>
      <c r="F134" s="382"/>
      <c r="G134" s="18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67"/>
      <c r="C135" s="5"/>
      <c r="D135" s="362" t="s">
        <v>1448</v>
      </c>
      <c r="E135" s="363"/>
      <c r="F135" s="296"/>
      <c r="G135" s="34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B136" s="67"/>
      <c r="D136" s="117" t="s">
        <v>1449</v>
      </c>
      <c r="E136" s="118" t="s">
        <v>1451</v>
      </c>
      <c r="F136" s="447" t="s">
        <v>11</v>
      </c>
      <c r="G136" s="299"/>
    </row>
    <row r="137">
      <c r="B137" s="67"/>
      <c r="D137" s="117" t="s">
        <v>1453</v>
      </c>
      <c r="E137" s="118" t="s">
        <v>1454</v>
      </c>
      <c r="F137" s="447" t="s">
        <v>11</v>
      </c>
      <c r="G137" s="299"/>
    </row>
    <row r="138">
      <c r="B138" s="67"/>
      <c r="D138" s="117" t="s">
        <v>839</v>
      </c>
      <c r="E138" s="118" t="s">
        <v>1457</v>
      </c>
      <c r="F138" s="447" t="s">
        <v>11</v>
      </c>
      <c r="G138" s="299"/>
    </row>
    <row r="139">
      <c r="B139" s="67"/>
      <c r="D139" s="115" t="s">
        <v>1460</v>
      </c>
      <c r="E139" s="118" t="s">
        <v>1461</v>
      </c>
      <c r="F139" s="447" t="s">
        <v>11</v>
      </c>
      <c r="G139" s="299"/>
    </row>
    <row r="140">
      <c r="B140" s="67"/>
      <c r="D140" s="115" t="s">
        <v>1463</v>
      </c>
      <c r="E140" s="118" t="s">
        <v>1464</v>
      </c>
      <c r="F140" s="447" t="s">
        <v>11</v>
      </c>
      <c r="G140" s="299"/>
    </row>
    <row r="141">
      <c r="B141" s="67"/>
      <c r="D141" s="115" t="s">
        <v>1465</v>
      </c>
      <c r="E141" s="118" t="s">
        <v>1466</v>
      </c>
      <c r="F141" s="447" t="s">
        <v>11</v>
      </c>
      <c r="G141" s="299"/>
    </row>
    <row r="142">
      <c r="B142" s="67"/>
      <c r="D142" s="115" t="s">
        <v>1467</v>
      </c>
      <c r="E142" s="118" t="s">
        <v>1468</v>
      </c>
      <c r="F142" s="447" t="s">
        <v>11</v>
      </c>
      <c r="G142" s="299"/>
    </row>
    <row r="143">
      <c r="B143" s="67"/>
      <c r="D143" s="115" t="s">
        <v>1471</v>
      </c>
      <c r="E143" s="118" t="s">
        <v>1472</v>
      </c>
      <c r="F143" s="447" t="s">
        <v>11</v>
      </c>
      <c r="G143" s="299"/>
    </row>
    <row r="144">
      <c r="B144" s="67"/>
      <c r="D144" s="115" t="s">
        <v>1473</v>
      </c>
      <c r="E144" s="118" t="s">
        <v>1474</v>
      </c>
      <c r="F144" s="447" t="s">
        <v>11</v>
      </c>
      <c r="G144" s="299"/>
    </row>
    <row r="145">
      <c r="B145" s="67"/>
      <c r="D145" s="115" t="s">
        <v>1477</v>
      </c>
      <c r="E145" s="118" t="s">
        <v>1479</v>
      </c>
      <c r="F145" s="447" t="s">
        <v>11</v>
      </c>
      <c r="G145" s="299"/>
    </row>
    <row r="146">
      <c r="B146" s="67"/>
      <c r="D146" s="115" t="s">
        <v>1481</v>
      </c>
      <c r="E146" s="118" t="s">
        <v>1483</v>
      </c>
      <c r="F146" s="447" t="s">
        <v>11</v>
      </c>
      <c r="G146" s="299"/>
    </row>
    <row r="147">
      <c r="B147" s="67"/>
      <c r="D147" s="115" t="s">
        <v>1485</v>
      </c>
      <c r="E147" s="118" t="s">
        <v>1486</v>
      </c>
      <c r="F147" s="447" t="s">
        <v>11</v>
      </c>
      <c r="G147" s="299" t="s">
        <v>1420</v>
      </c>
    </row>
    <row r="148">
      <c r="B148" s="67"/>
      <c r="D148" s="115" t="s">
        <v>1487</v>
      </c>
      <c r="E148" s="118" t="s">
        <v>1488</v>
      </c>
      <c r="F148" s="447" t="s">
        <v>11</v>
      </c>
      <c r="G148" s="299"/>
    </row>
    <row r="149">
      <c r="B149" s="67"/>
      <c r="D149" s="115" t="s">
        <v>1489</v>
      </c>
      <c r="E149" s="118" t="s">
        <v>1490</v>
      </c>
      <c r="F149" s="447" t="s">
        <v>11</v>
      </c>
      <c r="G149" s="299"/>
    </row>
    <row r="150">
      <c r="B150" s="67"/>
      <c r="D150" s="115" t="s">
        <v>1491</v>
      </c>
      <c r="E150" s="118" t="s">
        <v>1492</v>
      </c>
      <c r="F150" s="447" t="s">
        <v>11</v>
      </c>
      <c r="G150" s="299"/>
    </row>
    <row r="151">
      <c r="A151" s="5"/>
      <c r="B151" s="67"/>
      <c r="C151" s="5"/>
      <c r="D151" s="115" t="s">
        <v>839</v>
      </c>
      <c r="E151" s="118" t="s">
        <v>1493</v>
      </c>
      <c r="F151" s="447"/>
      <c r="G151" s="299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67"/>
      <c r="C152" s="5"/>
      <c r="D152" s="185" t="s">
        <v>814</v>
      </c>
      <c r="E152" s="246"/>
      <c r="F152" s="451"/>
      <c r="G152" s="45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67"/>
      <c r="C153" s="5"/>
      <c r="D153" s="453"/>
      <c r="E153" s="454"/>
      <c r="F153" s="427"/>
      <c r="G153" s="455"/>
      <c r="H153" s="43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67"/>
      <c r="C154" s="5"/>
      <c r="D154" s="453"/>
      <c r="E154" s="454"/>
      <c r="F154" s="427"/>
      <c r="G154" s="455"/>
      <c r="H154" s="43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67"/>
      <c r="C155" s="5"/>
      <c r="D155" s="420" t="s">
        <v>1494</v>
      </c>
      <c r="E155" s="323"/>
      <c r="F155" s="241"/>
      <c r="G155" s="456"/>
      <c r="H155" s="43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67"/>
      <c r="C156" s="5"/>
      <c r="D156" s="117" t="s">
        <v>1449</v>
      </c>
      <c r="E156" s="118" t="s">
        <v>1451</v>
      </c>
      <c r="F156" s="192"/>
      <c r="G156" s="457" t="s">
        <v>11</v>
      </c>
      <c r="H156" s="43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B157" s="67"/>
      <c r="D157" s="117" t="s">
        <v>1453</v>
      </c>
      <c r="E157" s="118" t="s">
        <v>1454</v>
      </c>
      <c r="F157" s="192"/>
      <c r="G157" s="457" t="s">
        <v>11</v>
      </c>
      <c r="H157" s="431"/>
    </row>
    <row r="158">
      <c r="B158" s="67"/>
      <c r="D158" s="117" t="s">
        <v>839</v>
      </c>
      <c r="E158" s="118" t="s">
        <v>1457</v>
      </c>
      <c r="F158" s="192"/>
      <c r="G158" s="457" t="s">
        <v>11</v>
      </c>
      <c r="H158" s="431"/>
    </row>
    <row r="159">
      <c r="B159" s="67"/>
      <c r="D159" s="115" t="s">
        <v>1460</v>
      </c>
      <c r="E159" s="118" t="s">
        <v>1495</v>
      </c>
      <c r="F159" s="192"/>
      <c r="G159" s="458"/>
      <c r="H159" s="459"/>
    </row>
    <row r="160">
      <c r="B160" s="67"/>
      <c r="D160" s="115" t="s">
        <v>1463</v>
      </c>
      <c r="E160" s="118" t="s">
        <v>1496</v>
      </c>
      <c r="F160" s="192"/>
      <c r="G160" s="458"/>
      <c r="H160" s="459"/>
    </row>
    <row r="161">
      <c r="B161" s="67"/>
      <c r="D161" s="115" t="s">
        <v>1465</v>
      </c>
      <c r="E161" s="118" t="s">
        <v>1497</v>
      </c>
      <c r="F161" s="118" t="s">
        <v>1498</v>
      </c>
      <c r="G161" s="457" t="s">
        <v>11</v>
      </c>
      <c r="H161" s="459"/>
    </row>
    <row r="162">
      <c r="B162" s="67"/>
      <c r="D162" s="115" t="s">
        <v>1467</v>
      </c>
      <c r="E162" s="118" t="s">
        <v>1499</v>
      </c>
      <c r="F162" s="118" t="s">
        <v>1500</v>
      </c>
      <c r="G162" s="457" t="s">
        <v>11</v>
      </c>
      <c r="H162" s="459"/>
    </row>
    <row r="163">
      <c r="B163" s="67"/>
      <c r="D163" s="115" t="s">
        <v>1471</v>
      </c>
      <c r="E163" s="118" t="s">
        <v>1472</v>
      </c>
      <c r="F163" s="192"/>
      <c r="G163" s="457" t="s">
        <v>11</v>
      </c>
      <c r="H163" s="431"/>
    </row>
    <row r="164">
      <c r="B164" s="67"/>
      <c r="D164" s="115" t="s">
        <v>1473</v>
      </c>
      <c r="E164" s="118" t="s">
        <v>1474</v>
      </c>
      <c r="F164" s="192"/>
      <c r="G164" s="457" t="s">
        <v>11</v>
      </c>
      <c r="H164" s="431"/>
    </row>
    <row r="165">
      <c r="B165" s="67"/>
      <c r="D165" s="115" t="s">
        <v>1485</v>
      </c>
      <c r="E165" s="118" t="s">
        <v>1486</v>
      </c>
      <c r="F165" s="192"/>
      <c r="G165" s="457" t="s">
        <v>11</v>
      </c>
      <c r="H165" s="431"/>
    </row>
    <row r="166">
      <c r="B166" s="67"/>
      <c r="D166" s="115" t="s">
        <v>1487</v>
      </c>
      <c r="E166" s="118" t="s">
        <v>1488</v>
      </c>
      <c r="F166" s="192"/>
      <c r="G166" s="457" t="s">
        <v>11</v>
      </c>
      <c r="H166" s="431"/>
    </row>
    <row r="167">
      <c r="A167" s="5"/>
      <c r="B167" s="67"/>
      <c r="C167" s="5"/>
      <c r="D167" s="115" t="s">
        <v>1489</v>
      </c>
      <c r="E167" s="118" t="s">
        <v>1490</v>
      </c>
      <c r="F167" s="192"/>
      <c r="G167" s="457" t="s">
        <v>11</v>
      </c>
      <c r="H167" s="43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67"/>
      <c r="C168" s="5"/>
      <c r="D168" s="115" t="s">
        <v>1491</v>
      </c>
      <c r="E168" s="118" t="s">
        <v>1492</v>
      </c>
      <c r="F168" s="192"/>
      <c r="G168" s="457" t="s">
        <v>11</v>
      </c>
      <c r="H168" s="43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67"/>
      <c r="C169" s="5"/>
      <c r="D169" s="115" t="s">
        <v>1501</v>
      </c>
      <c r="E169" s="118" t="s">
        <v>1502</v>
      </c>
      <c r="F169" s="192"/>
      <c r="G169" s="457" t="s">
        <v>1503</v>
      </c>
      <c r="H169" s="43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67"/>
      <c r="C170" s="5"/>
      <c r="D170" s="115" t="s">
        <v>839</v>
      </c>
      <c r="E170" s="118" t="s">
        <v>1504</v>
      </c>
      <c r="F170" s="118" t="s">
        <v>1505</v>
      </c>
      <c r="G170" s="457" t="s">
        <v>11</v>
      </c>
      <c r="H170" s="46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B171" s="103"/>
      <c r="D171" s="185" t="s">
        <v>814</v>
      </c>
      <c r="E171" s="246"/>
      <c r="F171" s="246"/>
      <c r="G171" s="452" t="s">
        <v>1420</v>
      </c>
      <c r="H171" s="431"/>
    </row>
    <row r="172" ht="15.75" customHeight="1">
      <c r="G172" s="5"/>
      <c r="H172" s="5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</sheetData>
  <mergeCells count="1">
    <mergeCell ref="B18:B171"/>
  </mergeCells>
  <dataValidations>
    <dataValidation type="list" allowBlank="1" showErrorMessage="1" sqref="G19:G97 G104:G151 G159:G160">
      <formula1>"Pass,Fail,Update required,Not implemented,Not tested,Bug noticed"</formula1>
    </dataValidation>
    <dataValidation type="list" allowBlank="1" showErrorMessage="1" sqref="G98:G103 G152:G158 G161:G171">
      <formula1>"Pass,Fail,Update required,Not implemented,Not Tested"</formula1>
    </dataValidation>
    <dataValidation type="list" allowBlank="1" showErrorMessage="1" sqref="F19:F166 F168:F171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71"/>
    <col customWidth="1" min="3" max="3" width="2.29"/>
    <col customWidth="1" min="4" max="4" width="67.29"/>
    <col customWidth="1" min="5" max="5" width="63.43"/>
    <col customWidth="1" min="6" max="6" width="25.71"/>
    <col customWidth="1" min="7" max="7" width="36.57"/>
    <col customWidth="1" min="8" max="8" width="78.29"/>
    <col customWidth="1" min="9" max="9" width="0.14"/>
  </cols>
  <sheetData>
    <row r="2" ht="15.0" customHeight="1">
      <c r="I2" s="5" t="s">
        <v>11</v>
      </c>
    </row>
    <row r="3" ht="15.0" customHeight="1">
      <c r="I3" s="5" t="s">
        <v>12</v>
      </c>
    </row>
    <row r="6" ht="20.25" customHeight="1">
      <c r="D6" s="7" t="s">
        <v>14</v>
      </c>
      <c r="E6" s="7"/>
      <c r="F6" s="7"/>
      <c r="G6" s="6"/>
    </row>
    <row r="7" ht="15.0" customHeight="1">
      <c r="D7" s="9"/>
      <c r="E7" s="12"/>
      <c r="F7" s="12"/>
      <c r="G7" s="13"/>
    </row>
    <row r="8" ht="15.0" customHeight="1">
      <c r="D8" s="16" t="s">
        <v>18</v>
      </c>
      <c r="E8" s="18"/>
      <c r="F8" s="20" t="s">
        <v>21</v>
      </c>
      <c r="G8" s="21"/>
    </row>
    <row r="9" ht="15.0" customHeight="1">
      <c r="D9" s="22"/>
      <c r="E9" s="23"/>
      <c r="F9" s="25" t="s">
        <v>24</v>
      </c>
      <c r="G9" s="26"/>
    </row>
    <row r="10" ht="15.0" customHeight="1">
      <c r="D10" s="27"/>
      <c r="E10" s="23"/>
      <c r="F10" s="15" t="s">
        <v>26</v>
      </c>
      <c r="G10" s="28" t="s">
        <v>107</v>
      </c>
    </row>
    <row r="11" ht="15.0" customHeight="1">
      <c r="D11" s="27" t="s">
        <v>28</v>
      </c>
      <c r="E11" s="23">
        <f>COUNTIF(F18:F229,I2)</f>
        <v>96</v>
      </c>
      <c r="F11" s="15" t="s">
        <v>30</v>
      </c>
      <c r="G11" s="28" t="s">
        <v>108</v>
      </c>
    </row>
    <row r="12" ht="15.0" customHeight="1">
      <c r="D12" s="27" t="s">
        <v>33</v>
      </c>
      <c r="E12" s="23">
        <f>COUNTIF(F18:F229,I3)</f>
        <v>9</v>
      </c>
      <c r="F12" s="14" t="s">
        <v>34</v>
      </c>
      <c r="G12" s="141">
        <f>(E11/E13)*100</f>
        <v>91.42857143</v>
      </c>
    </row>
    <row r="13" ht="15.0" customHeight="1">
      <c r="D13" s="50" t="s">
        <v>35</v>
      </c>
      <c r="E13" s="51">
        <f>SUM(E11:E12)</f>
        <v>105</v>
      </c>
      <c r="F13" s="52" t="s">
        <v>37</v>
      </c>
      <c r="G13" s="143">
        <f>(E12/E13)*100</f>
        <v>8.571428571</v>
      </c>
    </row>
    <row r="16" ht="27.0" customHeight="1">
      <c r="A16" s="5"/>
      <c r="B16" s="408" t="s">
        <v>39</v>
      </c>
      <c r="C16" s="5"/>
      <c r="D16" s="409" t="s">
        <v>41</v>
      </c>
      <c r="E16" s="410" t="s">
        <v>42</v>
      </c>
      <c r="F16" s="410" t="s">
        <v>43</v>
      </c>
      <c r="G16" s="411" t="s">
        <v>44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.0" customHeight="1">
      <c r="A17" s="5"/>
      <c r="B17" s="166"/>
      <c r="C17" s="5"/>
      <c r="D17" s="166"/>
      <c r="E17" s="166"/>
      <c r="F17" s="166"/>
      <c r="G17" s="44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390" t="s">
        <v>1462</v>
      </c>
      <c r="C18" s="5"/>
      <c r="D18" s="362" t="s">
        <v>1448</v>
      </c>
      <c r="E18" s="363"/>
      <c r="F18" s="296"/>
      <c r="G18" s="34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B19" s="67"/>
      <c r="D19" s="117" t="s">
        <v>1449</v>
      </c>
      <c r="E19" s="118" t="s">
        <v>1451</v>
      </c>
      <c r="F19" s="447" t="s">
        <v>11</v>
      </c>
      <c r="G19" s="299"/>
    </row>
    <row r="20">
      <c r="B20" s="67"/>
      <c r="D20" s="117" t="s">
        <v>1453</v>
      </c>
      <c r="E20" s="118" t="s">
        <v>1454</v>
      </c>
      <c r="F20" s="447" t="s">
        <v>11</v>
      </c>
      <c r="G20" s="299"/>
    </row>
    <row r="21">
      <c r="B21" s="67"/>
      <c r="D21" s="117" t="s">
        <v>839</v>
      </c>
      <c r="E21" s="118" t="s">
        <v>1457</v>
      </c>
      <c r="F21" s="447" t="s">
        <v>11</v>
      </c>
      <c r="G21" s="299"/>
    </row>
    <row r="22">
      <c r="B22" s="67"/>
      <c r="D22" s="115" t="s">
        <v>1460</v>
      </c>
      <c r="E22" s="118" t="s">
        <v>1461</v>
      </c>
      <c r="F22" s="447" t="s">
        <v>11</v>
      </c>
      <c r="G22" s="299"/>
    </row>
    <row r="23">
      <c r="B23" s="67"/>
      <c r="D23" s="115" t="s">
        <v>1463</v>
      </c>
      <c r="E23" s="118" t="s">
        <v>1464</v>
      </c>
      <c r="F23" s="447" t="s">
        <v>11</v>
      </c>
      <c r="G23" s="299"/>
    </row>
    <row r="24">
      <c r="B24" s="67"/>
      <c r="D24" s="115" t="s">
        <v>1465</v>
      </c>
      <c r="E24" s="118" t="s">
        <v>1466</v>
      </c>
      <c r="F24" s="447" t="s">
        <v>11</v>
      </c>
      <c r="G24" s="299"/>
    </row>
    <row r="25">
      <c r="B25" s="67"/>
      <c r="D25" s="115" t="s">
        <v>1467</v>
      </c>
      <c r="E25" s="118" t="s">
        <v>1468</v>
      </c>
      <c r="F25" s="447" t="s">
        <v>11</v>
      </c>
      <c r="G25" s="299"/>
    </row>
    <row r="26">
      <c r="B26" s="67"/>
      <c r="D26" s="115" t="s">
        <v>1471</v>
      </c>
      <c r="E26" s="118" t="s">
        <v>1472</v>
      </c>
      <c r="F26" s="447" t="s">
        <v>11</v>
      </c>
      <c r="G26" s="299"/>
    </row>
    <row r="27">
      <c r="B27" s="67"/>
      <c r="D27" s="115" t="s">
        <v>1473</v>
      </c>
      <c r="E27" s="118" t="s">
        <v>1474</v>
      </c>
      <c r="F27" s="447" t="s">
        <v>11</v>
      </c>
      <c r="G27" s="299"/>
    </row>
    <row r="28">
      <c r="B28" s="67"/>
      <c r="D28" s="115" t="s">
        <v>1477</v>
      </c>
      <c r="E28" s="118" t="s">
        <v>1479</v>
      </c>
      <c r="F28" s="447" t="s">
        <v>11</v>
      </c>
      <c r="G28" s="299"/>
    </row>
    <row r="29">
      <c r="B29" s="67"/>
      <c r="D29" s="115" t="s">
        <v>1481</v>
      </c>
      <c r="E29" s="118" t="s">
        <v>1483</v>
      </c>
      <c r="F29" s="447" t="s">
        <v>11</v>
      </c>
      <c r="G29" s="299"/>
    </row>
    <row r="30">
      <c r="B30" s="67"/>
      <c r="D30" s="115" t="s">
        <v>1485</v>
      </c>
      <c r="E30" s="118" t="s">
        <v>1486</v>
      </c>
      <c r="F30" s="447" t="s">
        <v>11</v>
      </c>
      <c r="G30" s="299" t="s">
        <v>1420</v>
      </c>
    </row>
    <row r="31">
      <c r="B31" s="67"/>
      <c r="D31" s="115" t="s">
        <v>1487</v>
      </c>
      <c r="E31" s="118" t="s">
        <v>1488</v>
      </c>
      <c r="F31" s="447" t="s">
        <v>11</v>
      </c>
      <c r="G31" s="299"/>
    </row>
    <row r="32">
      <c r="B32" s="67"/>
      <c r="D32" s="115" t="s">
        <v>1489</v>
      </c>
      <c r="E32" s="118" t="s">
        <v>1490</v>
      </c>
      <c r="F32" s="447" t="s">
        <v>11</v>
      </c>
      <c r="G32" s="299"/>
    </row>
    <row r="33">
      <c r="B33" s="67"/>
      <c r="D33" s="115" t="s">
        <v>1491</v>
      </c>
      <c r="E33" s="118" t="s">
        <v>1492</v>
      </c>
      <c r="F33" s="447" t="s">
        <v>11</v>
      </c>
      <c r="G33" s="299"/>
    </row>
    <row r="34">
      <c r="B34" s="67"/>
      <c r="D34" s="115" t="s">
        <v>839</v>
      </c>
      <c r="E34" s="118" t="s">
        <v>1493</v>
      </c>
      <c r="F34" s="447"/>
      <c r="G34" s="299"/>
      <c r="H34" s="5"/>
    </row>
    <row r="35">
      <c r="A35" s="5"/>
      <c r="B35" s="67"/>
      <c r="C35" s="5"/>
      <c r="D35" s="185" t="s">
        <v>814</v>
      </c>
      <c r="E35" s="246"/>
      <c r="F35" s="451"/>
      <c r="G35" s="45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67"/>
      <c r="C36" s="5"/>
      <c r="D36" s="453"/>
      <c r="E36" s="454"/>
      <c r="F36" s="427"/>
      <c r="G36" s="455"/>
      <c r="H36" s="431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67"/>
      <c r="C37" s="5"/>
      <c r="D37" s="453"/>
      <c r="E37" s="454"/>
      <c r="F37" s="427"/>
      <c r="G37" s="455"/>
      <c r="H37" s="431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67"/>
      <c r="C38" s="5"/>
      <c r="D38" s="420" t="s">
        <v>1494</v>
      </c>
      <c r="E38" s="323"/>
      <c r="F38" s="241"/>
      <c r="G38" s="456"/>
      <c r="H38" s="43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67"/>
      <c r="C39" s="5"/>
      <c r="D39" s="117" t="s">
        <v>1449</v>
      </c>
      <c r="E39" s="118" t="s">
        <v>1451</v>
      </c>
      <c r="F39" s="447" t="s">
        <v>12</v>
      </c>
      <c r="G39" s="457" t="s">
        <v>1420</v>
      </c>
      <c r="H39" s="431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67"/>
      <c r="C40" s="5"/>
      <c r="D40" s="117" t="s">
        <v>1453</v>
      </c>
      <c r="E40" s="118" t="s">
        <v>1454</v>
      </c>
      <c r="F40" s="447" t="s">
        <v>12</v>
      </c>
      <c r="G40" s="457" t="s">
        <v>1420</v>
      </c>
      <c r="H40" s="431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B41" s="67"/>
      <c r="D41" s="117" t="s">
        <v>839</v>
      </c>
      <c r="E41" s="118" t="s">
        <v>1457</v>
      </c>
      <c r="F41" s="447" t="s">
        <v>12</v>
      </c>
      <c r="G41" s="457" t="s">
        <v>1420</v>
      </c>
      <c r="H41" s="431"/>
    </row>
    <row r="42">
      <c r="B42" s="67"/>
      <c r="D42" s="115" t="s">
        <v>1460</v>
      </c>
      <c r="E42" s="118" t="s">
        <v>1495</v>
      </c>
      <c r="F42" s="447" t="s">
        <v>12</v>
      </c>
      <c r="G42" s="460" t="s">
        <v>1420</v>
      </c>
      <c r="H42" s="459"/>
    </row>
    <row r="43">
      <c r="B43" s="67"/>
      <c r="D43" s="115" t="s">
        <v>1463</v>
      </c>
      <c r="E43" s="118" t="s">
        <v>1496</v>
      </c>
      <c r="F43" s="447" t="s">
        <v>12</v>
      </c>
      <c r="G43" s="460" t="s">
        <v>1420</v>
      </c>
      <c r="H43" s="459"/>
    </row>
    <row r="44">
      <c r="B44" s="67"/>
      <c r="D44" s="115" t="s">
        <v>1465</v>
      </c>
      <c r="E44" s="118" t="s">
        <v>1497</v>
      </c>
      <c r="F44" s="193" t="s">
        <v>12</v>
      </c>
      <c r="G44" s="457" t="s">
        <v>1420</v>
      </c>
      <c r="H44" s="459"/>
    </row>
    <row r="45">
      <c r="B45" s="67"/>
      <c r="D45" s="115" t="s">
        <v>1467</v>
      </c>
      <c r="E45" s="118" t="s">
        <v>1499</v>
      </c>
      <c r="F45" s="193" t="s">
        <v>12</v>
      </c>
      <c r="G45" s="457"/>
      <c r="H45" s="459"/>
    </row>
    <row r="46">
      <c r="B46" s="67"/>
      <c r="D46" s="115" t="s">
        <v>1471</v>
      </c>
      <c r="E46" s="118" t="s">
        <v>1472</v>
      </c>
      <c r="F46" s="447" t="s">
        <v>11</v>
      </c>
      <c r="G46" s="457"/>
      <c r="H46" s="431"/>
    </row>
    <row r="47">
      <c r="B47" s="67"/>
      <c r="D47" s="115" t="s">
        <v>1473</v>
      </c>
      <c r="E47" s="118" t="s">
        <v>1474</v>
      </c>
      <c r="F47" s="447" t="s">
        <v>11</v>
      </c>
      <c r="G47" s="457"/>
      <c r="H47" s="431"/>
    </row>
    <row r="48">
      <c r="B48" s="67"/>
      <c r="D48" s="115" t="s">
        <v>1485</v>
      </c>
      <c r="E48" s="118" t="s">
        <v>1486</v>
      </c>
      <c r="F48" s="447" t="s">
        <v>11</v>
      </c>
      <c r="G48" s="457" t="s">
        <v>11</v>
      </c>
      <c r="H48" s="431"/>
    </row>
    <row r="49">
      <c r="B49" s="67"/>
      <c r="D49" s="115" t="s">
        <v>1487</v>
      </c>
      <c r="E49" s="118" t="s">
        <v>1488</v>
      </c>
      <c r="F49" s="447" t="s">
        <v>11</v>
      </c>
      <c r="G49" s="457" t="s">
        <v>11</v>
      </c>
      <c r="H49" s="431"/>
    </row>
    <row r="50">
      <c r="A50" s="5"/>
      <c r="B50" s="67"/>
      <c r="C50" s="5"/>
      <c r="D50" s="115" t="s">
        <v>1491</v>
      </c>
      <c r="E50" s="118" t="s">
        <v>1492</v>
      </c>
      <c r="F50" s="447" t="s">
        <v>11</v>
      </c>
      <c r="G50" s="457"/>
      <c r="H50" s="43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67"/>
      <c r="C51" s="5"/>
      <c r="D51" s="115" t="s">
        <v>1491</v>
      </c>
      <c r="E51" s="118" t="s">
        <v>1492</v>
      </c>
      <c r="F51" s="447" t="s">
        <v>11</v>
      </c>
      <c r="G51" s="457" t="s">
        <v>11</v>
      </c>
      <c r="H51" s="43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67"/>
      <c r="C52" s="5"/>
      <c r="D52" s="115" t="s">
        <v>1501</v>
      </c>
      <c r="E52" s="118" t="s">
        <v>1502</v>
      </c>
      <c r="F52" s="447" t="s">
        <v>11</v>
      </c>
      <c r="G52" s="457" t="s">
        <v>1503</v>
      </c>
      <c r="H52" s="431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67"/>
      <c r="C53" s="5"/>
      <c r="D53" s="115" t="s">
        <v>839</v>
      </c>
      <c r="E53" s="118" t="s">
        <v>1504</v>
      </c>
      <c r="F53" s="193" t="s">
        <v>11</v>
      </c>
      <c r="G53" s="457" t="s">
        <v>11</v>
      </c>
      <c r="H53" s="46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67"/>
      <c r="C54" s="5"/>
      <c r="D54" s="185" t="s">
        <v>814</v>
      </c>
      <c r="E54" s="246"/>
      <c r="F54" s="451"/>
      <c r="G54" s="452" t="s">
        <v>1420</v>
      </c>
      <c r="H54" s="431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B55" s="67"/>
      <c r="D55" s="224"/>
      <c r="E55" s="227"/>
      <c r="F55" s="436"/>
      <c r="G55" s="437"/>
    </row>
    <row r="56">
      <c r="B56" s="67"/>
      <c r="D56" s="111" t="s">
        <v>1506</v>
      </c>
      <c r="E56" s="323"/>
      <c r="F56" s="296"/>
      <c r="G56" s="346"/>
    </row>
    <row r="57">
      <c r="B57" s="67"/>
      <c r="D57" s="117" t="s">
        <v>1449</v>
      </c>
      <c r="E57" s="118" t="s">
        <v>1451</v>
      </c>
      <c r="F57" s="447" t="s">
        <v>11</v>
      </c>
      <c r="G57" s="457"/>
    </row>
    <row r="58">
      <c r="B58" s="67"/>
      <c r="D58" s="117" t="s">
        <v>1453</v>
      </c>
      <c r="E58" s="118" t="s">
        <v>1454</v>
      </c>
      <c r="F58" s="447" t="s">
        <v>11</v>
      </c>
      <c r="G58" s="457"/>
    </row>
    <row r="59">
      <c r="B59" s="67"/>
      <c r="D59" s="117" t="s">
        <v>839</v>
      </c>
      <c r="E59" s="118" t="s">
        <v>1457</v>
      </c>
      <c r="F59" s="447" t="s">
        <v>11</v>
      </c>
      <c r="G59" s="457"/>
    </row>
    <row r="60">
      <c r="B60" s="67"/>
      <c r="D60" s="115" t="s">
        <v>1507</v>
      </c>
      <c r="E60" s="118" t="s">
        <v>1508</v>
      </c>
      <c r="F60" s="447" t="s">
        <v>11</v>
      </c>
      <c r="G60" s="457"/>
    </row>
    <row r="61">
      <c r="B61" s="67"/>
      <c r="D61" s="115" t="s">
        <v>1509</v>
      </c>
      <c r="E61" s="118" t="s">
        <v>1508</v>
      </c>
      <c r="F61" s="447" t="s">
        <v>11</v>
      </c>
      <c r="G61" s="457"/>
    </row>
    <row r="62">
      <c r="B62" s="67"/>
      <c r="D62" s="115" t="s">
        <v>1510</v>
      </c>
      <c r="E62" s="118" t="s">
        <v>1508</v>
      </c>
      <c r="F62" s="447" t="s">
        <v>11</v>
      </c>
      <c r="G62" s="457"/>
      <c r="H62" s="5"/>
    </row>
    <row r="63">
      <c r="A63" s="5"/>
      <c r="B63" s="67"/>
      <c r="C63" s="5"/>
      <c r="D63" s="115" t="s">
        <v>1511</v>
      </c>
      <c r="E63" s="118" t="s">
        <v>1508</v>
      </c>
      <c r="F63" s="447" t="s">
        <v>11</v>
      </c>
      <c r="G63" s="45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67"/>
      <c r="C64" s="5"/>
      <c r="D64" s="115" t="s">
        <v>1512</v>
      </c>
      <c r="E64" s="118" t="s">
        <v>1513</v>
      </c>
      <c r="F64" s="192"/>
      <c r="G64" s="45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67"/>
      <c r="C65" s="5"/>
      <c r="D65" s="115" t="s">
        <v>1514</v>
      </c>
      <c r="E65" s="118" t="s">
        <v>1513</v>
      </c>
      <c r="F65" s="192"/>
      <c r="G65" s="457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B66" s="67"/>
      <c r="D66" s="115" t="s">
        <v>1515</v>
      </c>
      <c r="E66" s="118" t="s">
        <v>1513</v>
      </c>
      <c r="F66" s="192"/>
      <c r="G66" s="457"/>
    </row>
    <row r="67">
      <c r="B67" s="67"/>
      <c r="D67" s="115" t="s">
        <v>1516</v>
      </c>
      <c r="E67" s="118" t="s">
        <v>1513</v>
      </c>
      <c r="F67" s="192"/>
      <c r="G67" s="457"/>
    </row>
    <row r="68">
      <c r="B68" s="67"/>
      <c r="D68" s="115" t="s">
        <v>1517</v>
      </c>
      <c r="E68" s="118" t="s">
        <v>1513</v>
      </c>
      <c r="F68" s="192"/>
      <c r="G68" s="457"/>
    </row>
    <row r="69">
      <c r="B69" s="67"/>
      <c r="D69" s="115" t="s">
        <v>1518</v>
      </c>
      <c r="E69" s="118" t="s">
        <v>1513</v>
      </c>
      <c r="F69" s="192"/>
      <c r="G69" s="457"/>
    </row>
    <row r="70">
      <c r="B70" s="67"/>
      <c r="D70" s="115" t="s">
        <v>1519</v>
      </c>
      <c r="E70" s="118" t="s">
        <v>1513</v>
      </c>
      <c r="F70" s="192"/>
      <c r="G70" s="457"/>
    </row>
    <row r="71">
      <c r="B71" s="67"/>
      <c r="D71" s="115" t="s">
        <v>1520</v>
      </c>
      <c r="E71" s="118" t="s">
        <v>1493</v>
      </c>
      <c r="F71" s="118"/>
      <c r="G71" s="457"/>
      <c r="H71" s="5"/>
    </row>
    <row r="72">
      <c r="A72" s="5"/>
      <c r="B72" s="67"/>
      <c r="C72" s="5"/>
      <c r="D72" s="185" t="s">
        <v>814</v>
      </c>
      <c r="E72" s="246"/>
      <c r="F72" s="246"/>
      <c r="G72" s="45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67"/>
      <c r="C73" s="5"/>
      <c r="D73" s="242"/>
      <c r="E73" s="248"/>
      <c r="F73" s="248"/>
      <c r="G73" s="46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67"/>
      <c r="C74" s="5"/>
      <c r="D74" s="242"/>
      <c r="E74" s="248"/>
      <c r="F74" s="248"/>
      <c r="G74" s="46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67"/>
      <c r="C75" s="5"/>
      <c r="D75" s="161"/>
      <c r="E75" s="350"/>
      <c r="F75" s="382"/>
      <c r="G75" s="18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67"/>
      <c r="C76" s="5"/>
      <c r="D76" s="463" t="s">
        <v>1521</v>
      </c>
      <c r="E76" s="377"/>
      <c r="F76" s="382"/>
      <c r="G76" s="18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67"/>
      <c r="C77" s="5"/>
      <c r="D77" s="464" t="s">
        <v>1449</v>
      </c>
      <c r="E77" s="465" t="s">
        <v>1522</v>
      </c>
      <c r="F77" s="296" t="s">
        <v>11</v>
      </c>
      <c r="G77" s="346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B78" s="67"/>
      <c r="D78" s="466" t="s">
        <v>1523</v>
      </c>
      <c r="E78" s="173" t="s">
        <v>1524</v>
      </c>
      <c r="F78" s="297" t="s">
        <v>11</v>
      </c>
      <c r="G78" s="299"/>
    </row>
    <row r="79">
      <c r="B79" s="67"/>
      <c r="D79" s="466" t="s">
        <v>633</v>
      </c>
      <c r="E79" s="173" t="s">
        <v>1525</v>
      </c>
      <c r="F79" s="297" t="s">
        <v>11</v>
      </c>
      <c r="G79" s="299"/>
    </row>
    <row r="80">
      <c r="B80" s="67"/>
      <c r="D80" s="365" t="s">
        <v>86</v>
      </c>
      <c r="E80" s="366"/>
      <c r="F80" s="417"/>
      <c r="G80" s="321"/>
      <c r="H80" s="5"/>
    </row>
    <row r="81">
      <c r="A81" s="5"/>
      <c r="B81" s="67"/>
      <c r="C81" s="5"/>
      <c r="D81" s="368"/>
      <c r="E81" s="377"/>
      <c r="F81" s="382"/>
      <c r="G81" s="18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67"/>
      <c r="C82" s="5"/>
      <c r="D82" s="368"/>
      <c r="E82" s="377"/>
      <c r="F82" s="382"/>
      <c r="G82" s="18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67"/>
      <c r="C83" s="5"/>
      <c r="D83" s="377"/>
      <c r="E83" s="377"/>
      <c r="F83" s="382"/>
      <c r="G83" s="18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67"/>
      <c r="C84" s="5"/>
      <c r="D84" s="362" t="s">
        <v>1526</v>
      </c>
      <c r="E84" s="363"/>
      <c r="F84" s="296"/>
      <c r="G84" s="346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67"/>
      <c r="C85" s="5"/>
      <c r="D85" s="464" t="s">
        <v>1449</v>
      </c>
      <c r="E85" s="465" t="s">
        <v>1451</v>
      </c>
      <c r="F85" s="297" t="s">
        <v>11</v>
      </c>
      <c r="G85" s="29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B86" s="67"/>
      <c r="D86" s="467" t="s">
        <v>1453</v>
      </c>
      <c r="E86" s="441" t="s">
        <v>1454</v>
      </c>
      <c r="F86" s="297" t="s">
        <v>11</v>
      </c>
      <c r="G86" s="299"/>
    </row>
    <row r="87">
      <c r="B87" s="67"/>
      <c r="D87" s="466" t="s">
        <v>1523</v>
      </c>
      <c r="E87" s="173" t="s">
        <v>1524</v>
      </c>
      <c r="F87" s="297" t="s">
        <v>11</v>
      </c>
      <c r="G87" s="299"/>
    </row>
    <row r="88">
      <c r="B88" s="67"/>
      <c r="D88" s="466" t="s">
        <v>657</v>
      </c>
      <c r="E88" s="173" t="s">
        <v>1527</v>
      </c>
      <c r="F88" s="297" t="s">
        <v>11</v>
      </c>
      <c r="G88" s="299"/>
    </row>
    <row r="89">
      <c r="B89" s="67"/>
      <c r="D89" s="468" t="s">
        <v>1528</v>
      </c>
      <c r="E89" s="469" t="s">
        <v>1529</v>
      </c>
      <c r="F89" s="297" t="s">
        <v>11</v>
      </c>
      <c r="G89" s="299"/>
    </row>
    <row r="90">
      <c r="B90" s="67"/>
      <c r="D90" s="365" t="s">
        <v>86</v>
      </c>
      <c r="E90" s="366"/>
      <c r="F90" s="417"/>
      <c r="G90" s="321"/>
      <c r="H90" s="5"/>
    </row>
    <row r="91">
      <c r="A91" s="5"/>
      <c r="B91" s="67"/>
      <c r="C91" s="5"/>
      <c r="D91" s="368"/>
      <c r="E91" s="377"/>
      <c r="F91" s="382"/>
      <c r="G91" s="18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67"/>
      <c r="C92" s="5"/>
      <c r="D92" s="377"/>
      <c r="E92" s="377"/>
      <c r="F92" s="382"/>
      <c r="G92" s="18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67"/>
      <c r="C93" s="5"/>
      <c r="D93" s="362" t="s">
        <v>1530</v>
      </c>
      <c r="E93" s="363"/>
      <c r="F93" s="296"/>
      <c r="G93" s="34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67"/>
      <c r="C94" s="5"/>
      <c r="D94" s="464" t="s">
        <v>1449</v>
      </c>
      <c r="E94" s="465" t="s">
        <v>1451</v>
      </c>
      <c r="F94" s="297" t="s">
        <v>11</v>
      </c>
      <c r="G94" s="29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B95" s="67"/>
      <c r="D95" s="467" t="s">
        <v>1453</v>
      </c>
      <c r="E95" s="441" t="s">
        <v>1454</v>
      </c>
      <c r="F95" s="297" t="s">
        <v>11</v>
      </c>
      <c r="G95" s="299"/>
    </row>
    <row r="96">
      <c r="B96" s="67"/>
      <c r="D96" s="466" t="s">
        <v>1523</v>
      </c>
      <c r="E96" s="173" t="s">
        <v>1524</v>
      </c>
      <c r="F96" s="297" t="s">
        <v>11</v>
      </c>
      <c r="G96" s="299"/>
    </row>
    <row r="97">
      <c r="B97" s="67"/>
      <c r="D97" s="466" t="s">
        <v>688</v>
      </c>
      <c r="E97" s="173" t="s">
        <v>1531</v>
      </c>
      <c r="F97" s="297" t="s">
        <v>11</v>
      </c>
      <c r="G97" s="299"/>
    </row>
    <row r="98">
      <c r="B98" s="67"/>
      <c r="D98" s="365" t="s">
        <v>86</v>
      </c>
      <c r="E98" s="366"/>
      <c r="F98" s="417"/>
      <c r="G98" s="321"/>
      <c r="H98" s="5"/>
    </row>
    <row r="99">
      <c r="A99" s="5"/>
      <c r="B99" s="67"/>
      <c r="C99" s="5"/>
      <c r="D99" s="368"/>
      <c r="E99" s="377"/>
      <c r="F99" s="382"/>
      <c r="G99" s="18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67"/>
      <c r="C100" s="5"/>
      <c r="D100" s="368"/>
      <c r="E100" s="377"/>
      <c r="F100" s="382"/>
      <c r="G100" s="18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67"/>
      <c r="C101" s="5"/>
      <c r="D101" s="377"/>
      <c r="E101" s="377"/>
      <c r="F101" s="382"/>
      <c r="G101" s="18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67"/>
      <c r="C102" s="5"/>
      <c r="D102" s="362" t="s">
        <v>1532</v>
      </c>
      <c r="E102" s="363"/>
      <c r="F102" s="296"/>
      <c r="G102" s="34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67"/>
      <c r="C103" s="5"/>
      <c r="D103" s="464" t="s">
        <v>1449</v>
      </c>
      <c r="E103" s="465" t="s">
        <v>1451</v>
      </c>
      <c r="F103" s="297" t="s">
        <v>11</v>
      </c>
      <c r="G103" s="299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B104" s="67"/>
      <c r="D104" s="467" t="s">
        <v>1453</v>
      </c>
      <c r="E104" s="441" t="s">
        <v>1454</v>
      </c>
      <c r="F104" s="297" t="s">
        <v>11</v>
      </c>
      <c r="G104" s="299"/>
    </row>
    <row r="105">
      <c r="B105" s="67"/>
      <c r="D105" s="466" t="s">
        <v>1523</v>
      </c>
      <c r="E105" s="173" t="s">
        <v>1533</v>
      </c>
      <c r="F105" s="297" t="s">
        <v>11</v>
      </c>
      <c r="G105" s="299"/>
    </row>
    <row r="106">
      <c r="B106" s="67"/>
      <c r="D106" s="466" t="s">
        <v>1534</v>
      </c>
      <c r="E106" s="173" t="s">
        <v>1535</v>
      </c>
      <c r="F106" s="297" t="s">
        <v>11</v>
      </c>
      <c r="G106" s="299"/>
    </row>
    <row r="107">
      <c r="B107" s="67"/>
      <c r="D107" s="365" t="s">
        <v>86</v>
      </c>
      <c r="E107" s="366"/>
      <c r="F107" s="417"/>
      <c r="G107" s="321"/>
      <c r="H107" s="5"/>
    </row>
    <row r="108">
      <c r="A108" s="5"/>
      <c r="B108" s="67"/>
      <c r="C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67"/>
      <c r="C109" s="5"/>
      <c r="D109" s="368"/>
      <c r="E109" s="377"/>
      <c r="F109" s="382"/>
      <c r="G109" s="18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67"/>
      <c r="C110" s="5"/>
      <c r="D110" s="368"/>
      <c r="E110" s="377"/>
      <c r="F110" s="382"/>
      <c r="G110" s="18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67"/>
      <c r="C111" s="5"/>
      <c r="D111" s="377"/>
      <c r="E111" s="377"/>
      <c r="F111" s="382"/>
      <c r="G111" s="18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67"/>
      <c r="C112" s="5"/>
      <c r="D112" s="362" t="s">
        <v>1536</v>
      </c>
      <c r="E112" s="363"/>
      <c r="F112" s="296"/>
      <c r="G112" s="34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B113" s="67"/>
      <c r="D113" s="464" t="s">
        <v>1449</v>
      </c>
      <c r="E113" s="465" t="s">
        <v>1451</v>
      </c>
      <c r="F113" s="297" t="s">
        <v>11</v>
      </c>
      <c r="G113" s="299"/>
    </row>
    <row r="114">
      <c r="B114" s="67"/>
      <c r="D114" s="467" t="s">
        <v>1453</v>
      </c>
      <c r="E114" s="441" t="s">
        <v>1454</v>
      </c>
      <c r="F114" s="297" t="s">
        <v>11</v>
      </c>
      <c r="G114" s="299"/>
    </row>
    <row r="115">
      <c r="B115" s="67"/>
      <c r="D115" s="466" t="s">
        <v>1523</v>
      </c>
      <c r="E115" s="173" t="s">
        <v>1533</v>
      </c>
      <c r="F115" s="297" t="s">
        <v>11</v>
      </c>
      <c r="G115" s="299"/>
    </row>
    <row r="116">
      <c r="B116" s="67"/>
      <c r="D116" s="466" t="s">
        <v>1537</v>
      </c>
      <c r="E116" s="173" t="s">
        <v>1538</v>
      </c>
      <c r="F116" s="297" t="s">
        <v>11</v>
      </c>
      <c r="G116" s="299"/>
    </row>
    <row r="117">
      <c r="B117" s="67"/>
      <c r="D117" s="468" t="s">
        <v>1539</v>
      </c>
      <c r="E117" s="469" t="s">
        <v>1540</v>
      </c>
      <c r="F117" s="297" t="s">
        <v>11</v>
      </c>
      <c r="G117" s="299"/>
    </row>
    <row r="118">
      <c r="A118" s="5"/>
      <c r="B118" s="67"/>
      <c r="C118" s="5"/>
      <c r="D118" s="468" t="s">
        <v>1541</v>
      </c>
      <c r="E118" s="469" t="s">
        <v>1542</v>
      </c>
      <c r="F118" s="417" t="s">
        <v>11</v>
      </c>
      <c r="G118" s="32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67"/>
      <c r="C119" s="5"/>
      <c r="D119" s="470" t="s">
        <v>86</v>
      </c>
      <c r="E119" s="471"/>
      <c r="F119" s="382"/>
      <c r="G119" s="18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67"/>
      <c r="C120" s="5"/>
      <c r="D120" s="350"/>
      <c r="E120" s="350"/>
      <c r="F120" s="382"/>
      <c r="G120" s="18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67"/>
      <c r="C121" s="5"/>
      <c r="D121" s="111" t="s">
        <v>1543</v>
      </c>
      <c r="E121" s="323"/>
      <c r="F121" s="296"/>
      <c r="G121" s="34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B122" s="67"/>
      <c r="D122" s="464" t="s">
        <v>1449</v>
      </c>
      <c r="E122" s="465" t="s">
        <v>1451</v>
      </c>
      <c r="F122" s="297" t="s">
        <v>11</v>
      </c>
      <c r="G122" s="299"/>
    </row>
    <row r="123">
      <c r="B123" s="67"/>
      <c r="D123" s="467" t="s">
        <v>1453</v>
      </c>
      <c r="E123" s="441" t="s">
        <v>1454</v>
      </c>
      <c r="F123" s="297" t="s">
        <v>11</v>
      </c>
      <c r="G123" s="299"/>
    </row>
    <row r="124">
      <c r="B124" s="67"/>
      <c r="D124" s="466" t="s">
        <v>1544</v>
      </c>
      <c r="E124" s="173" t="s">
        <v>1545</v>
      </c>
      <c r="F124" s="297" t="s">
        <v>11</v>
      </c>
      <c r="G124" s="299"/>
    </row>
    <row r="125">
      <c r="A125" s="5"/>
      <c r="B125" s="67"/>
      <c r="C125" s="5"/>
      <c r="D125" s="119" t="s">
        <v>86</v>
      </c>
      <c r="E125" s="221"/>
      <c r="F125" s="417"/>
      <c r="G125" s="321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67"/>
      <c r="C126" s="5"/>
      <c r="D126" s="161"/>
      <c r="E126" s="350"/>
      <c r="F126" s="382"/>
      <c r="G126" s="18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67"/>
      <c r="C127" s="5"/>
      <c r="D127" s="111" t="s">
        <v>1546</v>
      </c>
      <c r="E127" s="323"/>
      <c r="F127" s="296"/>
      <c r="G127" s="34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67"/>
      <c r="C128" s="5"/>
      <c r="D128" s="117" t="s">
        <v>1449</v>
      </c>
      <c r="E128" s="118" t="s">
        <v>1451</v>
      </c>
      <c r="F128" s="297" t="s">
        <v>11</v>
      </c>
      <c r="G128" s="299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67"/>
      <c r="C129" s="5"/>
      <c r="D129" s="117" t="s">
        <v>1547</v>
      </c>
      <c r="E129" s="118" t="s">
        <v>1548</v>
      </c>
      <c r="F129" s="297" t="s">
        <v>11</v>
      </c>
      <c r="G129" s="299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67"/>
      <c r="C130" s="5"/>
      <c r="D130" s="117" t="s">
        <v>824</v>
      </c>
      <c r="E130" s="118" t="s">
        <v>1549</v>
      </c>
      <c r="F130" s="297" t="s">
        <v>11</v>
      </c>
      <c r="G130" s="299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67"/>
      <c r="C131" s="5"/>
      <c r="D131" s="115" t="s">
        <v>1550</v>
      </c>
      <c r="E131" s="118" t="s">
        <v>1551</v>
      </c>
      <c r="F131" s="297" t="s">
        <v>11</v>
      </c>
      <c r="G131" s="299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67"/>
      <c r="C132" s="5"/>
      <c r="D132" s="115" t="s">
        <v>833</v>
      </c>
      <c r="E132" s="118" t="s">
        <v>1552</v>
      </c>
      <c r="F132" s="297" t="s">
        <v>12</v>
      </c>
      <c r="G132" s="299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67"/>
      <c r="C133" s="5"/>
      <c r="D133" s="117" t="s">
        <v>824</v>
      </c>
      <c r="E133" s="118" t="s">
        <v>1553</v>
      </c>
      <c r="F133" s="297" t="s">
        <v>11</v>
      </c>
      <c r="G133" s="299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67"/>
      <c r="C134" s="5"/>
      <c r="D134" s="185" t="s">
        <v>86</v>
      </c>
      <c r="E134" s="246"/>
      <c r="F134" s="417"/>
      <c r="G134" s="321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67"/>
      <c r="C135" s="5"/>
      <c r="D135" s="350"/>
      <c r="E135" s="350"/>
      <c r="F135" s="382"/>
      <c r="G135" s="18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67"/>
      <c r="C136" s="5"/>
      <c r="D136" s="111" t="s">
        <v>1554</v>
      </c>
      <c r="E136" s="472"/>
      <c r="F136" s="64"/>
      <c r="G136" s="113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67"/>
      <c r="C137" s="5"/>
      <c r="D137" s="338" t="s">
        <v>1449</v>
      </c>
      <c r="E137" s="473" t="s">
        <v>1451</v>
      </c>
      <c r="F137" s="73" t="s">
        <v>11</v>
      </c>
      <c r="G137" s="7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67"/>
      <c r="C138" s="5"/>
      <c r="D138" s="338" t="s">
        <v>1453</v>
      </c>
      <c r="E138" s="473" t="s">
        <v>1454</v>
      </c>
      <c r="F138" s="73" t="s">
        <v>11</v>
      </c>
      <c r="G138" s="7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67"/>
      <c r="C139" s="5"/>
      <c r="D139" s="338" t="s">
        <v>1555</v>
      </c>
      <c r="E139" s="473" t="s">
        <v>1556</v>
      </c>
      <c r="F139" s="73" t="s">
        <v>11</v>
      </c>
      <c r="G139" s="7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67"/>
      <c r="C140" s="5"/>
      <c r="D140" s="338" t="s">
        <v>657</v>
      </c>
      <c r="E140" s="473" t="s">
        <v>1527</v>
      </c>
      <c r="F140" s="73" t="s">
        <v>11</v>
      </c>
      <c r="G140" s="7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67"/>
      <c r="C141" s="5"/>
      <c r="D141" s="338" t="s">
        <v>1528</v>
      </c>
      <c r="E141" s="473" t="s">
        <v>1529</v>
      </c>
      <c r="F141" s="73" t="s">
        <v>11</v>
      </c>
      <c r="G141" s="7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67"/>
      <c r="C142" s="5"/>
      <c r="D142" s="185" t="s">
        <v>86</v>
      </c>
      <c r="E142" s="142"/>
      <c r="F142" s="156"/>
      <c r="G142" s="10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67"/>
      <c r="C143" s="5"/>
      <c r="D143" s="350"/>
      <c r="E143" s="350"/>
      <c r="F143" s="382"/>
      <c r="G143" s="18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67"/>
      <c r="C144" s="5"/>
      <c r="D144" s="111" t="s">
        <v>1557</v>
      </c>
      <c r="E144" s="323"/>
      <c r="F144" s="296"/>
      <c r="G144" s="34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67"/>
      <c r="C145" s="5"/>
      <c r="D145" s="117" t="s">
        <v>1449</v>
      </c>
      <c r="E145" s="118" t="s">
        <v>1451</v>
      </c>
      <c r="F145" s="297" t="s">
        <v>11</v>
      </c>
      <c r="G145" s="299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67"/>
      <c r="C146" s="5"/>
      <c r="D146" s="117" t="s">
        <v>1453</v>
      </c>
      <c r="E146" s="118" t="s">
        <v>1454</v>
      </c>
      <c r="F146" s="297" t="s">
        <v>11</v>
      </c>
      <c r="G146" s="299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67"/>
      <c r="C147" s="5"/>
      <c r="D147" s="117" t="s">
        <v>1523</v>
      </c>
      <c r="E147" s="118" t="s">
        <v>1524</v>
      </c>
      <c r="F147" s="297" t="s">
        <v>11</v>
      </c>
      <c r="G147" s="299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67"/>
      <c r="C148" s="5"/>
      <c r="D148" s="117" t="s">
        <v>688</v>
      </c>
      <c r="E148" s="118" t="s">
        <v>1558</v>
      </c>
      <c r="F148" s="297" t="s">
        <v>11</v>
      </c>
      <c r="G148" s="299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67"/>
      <c r="C149" s="5"/>
      <c r="D149" s="185" t="s">
        <v>86</v>
      </c>
      <c r="E149" s="246"/>
      <c r="F149" s="417"/>
      <c r="G149" s="321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67"/>
      <c r="C150" s="5"/>
      <c r="D150" s="350"/>
      <c r="E150" s="350"/>
      <c r="F150" s="382"/>
      <c r="G150" s="18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67"/>
      <c r="C151" s="5"/>
      <c r="D151" s="111" t="s">
        <v>1559</v>
      </c>
      <c r="E151" s="323"/>
      <c r="F151" s="296"/>
      <c r="G151" s="34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67"/>
      <c r="C152" s="5"/>
      <c r="D152" s="117" t="s">
        <v>1449</v>
      </c>
      <c r="E152" s="118" t="s">
        <v>1451</v>
      </c>
      <c r="F152" s="297" t="s">
        <v>11</v>
      </c>
      <c r="G152" s="299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67"/>
      <c r="C153" s="5"/>
      <c r="D153" s="117" t="s">
        <v>1547</v>
      </c>
      <c r="E153" s="118" t="s">
        <v>1560</v>
      </c>
      <c r="F153" s="297" t="s">
        <v>11</v>
      </c>
      <c r="G153" s="299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67"/>
      <c r="C154" s="5"/>
      <c r="D154" s="117" t="s">
        <v>1555</v>
      </c>
      <c r="E154" s="118" t="s">
        <v>1561</v>
      </c>
      <c r="F154" s="297" t="s">
        <v>11</v>
      </c>
      <c r="G154" s="299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67"/>
      <c r="C155" s="5"/>
      <c r="D155" s="117" t="s">
        <v>1534</v>
      </c>
      <c r="E155" s="118" t="s">
        <v>1535</v>
      </c>
      <c r="F155" s="297" t="s">
        <v>11</v>
      </c>
      <c r="G155" s="299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67"/>
      <c r="C156" s="5"/>
      <c r="D156" s="185" t="s">
        <v>86</v>
      </c>
      <c r="E156" s="246"/>
      <c r="F156" s="417"/>
      <c r="G156" s="321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67"/>
      <c r="C157" s="5"/>
      <c r="D157" s="350"/>
      <c r="E157" s="350"/>
      <c r="F157" s="382"/>
      <c r="G157" s="18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67"/>
      <c r="C158" s="5"/>
      <c r="D158" s="423" t="s">
        <v>1562</v>
      </c>
      <c r="E158" s="323"/>
      <c r="F158" s="296"/>
      <c r="G158" s="34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67"/>
      <c r="C159" s="5"/>
      <c r="D159" s="117" t="s">
        <v>1449</v>
      </c>
      <c r="E159" s="118" t="s">
        <v>1451</v>
      </c>
      <c r="F159" s="297" t="s">
        <v>11</v>
      </c>
      <c r="G159" s="299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67"/>
      <c r="C160" s="5"/>
      <c r="D160" s="117" t="s">
        <v>1547</v>
      </c>
      <c r="E160" s="118" t="s">
        <v>1563</v>
      </c>
      <c r="F160" s="297" t="s">
        <v>11</v>
      </c>
      <c r="G160" s="299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67"/>
      <c r="C161" s="5"/>
      <c r="D161" s="117" t="s">
        <v>1564</v>
      </c>
      <c r="E161" s="118" t="s">
        <v>1565</v>
      </c>
      <c r="F161" s="297" t="s">
        <v>11</v>
      </c>
      <c r="G161" s="299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67"/>
      <c r="C162" s="5"/>
      <c r="D162" s="474" t="s">
        <v>86</v>
      </c>
      <c r="E162" s="246"/>
      <c r="F162" s="417"/>
      <c r="G162" s="321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67"/>
      <c r="C163" s="5"/>
      <c r="D163" s="350"/>
      <c r="E163" s="350"/>
      <c r="F163" s="382"/>
      <c r="G163" s="18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67"/>
      <c r="C164" s="5"/>
      <c r="D164" s="111" t="s">
        <v>1566</v>
      </c>
      <c r="E164" s="323"/>
      <c r="F164" s="296"/>
      <c r="G164" s="34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67"/>
      <c r="C165" s="5"/>
      <c r="D165" s="475" t="s">
        <v>1449</v>
      </c>
      <c r="E165" s="177" t="s">
        <v>1451</v>
      </c>
      <c r="F165" s="297" t="s">
        <v>11</v>
      </c>
      <c r="G165" s="299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67"/>
      <c r="C166" s="5"/>
      <c r="D166" s="475" t="s">
        <v>1567</v>
      </c>
      <c r="E166" s="177" t="s">
        <v>1568</v>
      </c>
      <c r="F166" s="297" t="s">
        <v>11</v>
      </c>
      <c r="G166" s="299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67"/>
      <c r="C167" s="5"/>
      <c r="D167" s="475" t="s">
        <v>824</v>
      </c>
      <c r="E167" s="177" t="s">
        <v>1569</v>
      </c>
      <c r="F167" s="297" t="s">
        <v>11</v>
      </c>
      <c r="G167" s="299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67"/>
      <c r="C168" s="5"/>
      <c r="D168" s="325" t="s">
        <v>1570</v>
      </c>
      <c r="E168" s="177" t="s">
        <v>1571</v>
      </c>
      <c r="F168" s="297" t="s">
        <v>11</v>
      </c>
      <c r="G168" s="299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67"/>
      <c r="C169" s="5"/>
      <c r="D169" s="475" t="s">
        <v>1572</v>
      </c>
      <c r="E169" s="177" t="s">
        <v>1573</v>
      </c>
      <c r="F169" s="297" t="s">
        <v>11</v>
      </c>
      <c r="G169" s="299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67"/>
      <c r="C170" s="5"/>
      <c r="D170" s="475" t="s">
        <v>1574</v>
      </c>
      <c r="E170" s="177" t="s">
        <v>1575</v>
      </c>
      <c r="F170" s="297" t="s">
        <v>11</v>
      </c>
      <c r="G170" s="299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67"/>
      <c r="C171" s="5"/>
      <c r="D171" s="325" t="s">
        <v>1576</v>
      </c>
      <c r="E171" s="177" t="s">
        <v>1577</v>
      </c>
      <c r="F171" s="297" t="s">
        <v>11</v>
      </c>
      <c r="G171" s="299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67"/>
      <c r="C172" s="5"/>
      <c r="D172" s="475" t="s">
        <v>1578</v>
      </c>
      <c r="E172" s="177" t="s">
        <v>1579</v>
      </c>
      <c r="F172" s="297" t="s">
        <v>11</v>
      </c>
      <c r="G172" s="299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67"/>
      <c r="C173" s="5"/>
      <c r="D173" s="475" t="s">
        <v>1580</v>
      </c>
      <c r="E173" s="177" t="s">
        <v>1581</v>
      </c>
      <c r="F173" s="297" t="s">
        <v>11</v>
      </c>
      <c r="G173" s="299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67"/>
      <c r="C174" s="5"/>
      <c r="D174" s="475" t="s">
        <v>1582</v>
      </c>
      <c r="E174" s="177" t="s">
        <v>1583</v>
      </c>
      <c r="F174" s="297" t="s">
        <v>11</v>
      </c>
      <c r="G174" s="299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B175" s="67"/>
      <c r="D175" s="476" t="s">
        <v>86</v>
      </c>
      <c r="E175" s="432"/>
      <c r="F175" s="417"/>
      <c r="G175" s="321"/>
    </row>
    <row r="176">
      <c r="B176" s="67"/>
      <c r="D176" s="350"/>
      <c r="E176" s="350"/>
      <c r="F176" s="436"/>
      <c r="G176" s="372"/>
    </row>
    <row r="177">
      <c r="B177" s="67"/>
      <c r="D177" s="111" t="s">
        <v>1584</v>
      </c>
      <c r="E177" s="323"/>
      <c r="F177" s="296"/>
      <c r="G177" s="346"/>
    </row>
    <row r="178">
      <c r="B178" s="67"/>
      <c r="D178" s="475" t="s">
        <v>1585</v>
      </c>
      <c r="E178" s="177" t="s">
        <v>1451</v>
      </c>
      <c r="F178" s="297"/>
      <c r="G178" s="299"/>
    </row>
    <row r="179">
      <c r="B179" s="67"/>
      <c r="D179" s="475" t="s">
        <v>1567</v>
      </c>
      <c r="E179" s="177" t="s">
        <v>1568</v>
      </c>
      <c r="F179" s="297"/>
      <c r="G179" s="299"/>
    </row>
    <row r="180">
      <c r="B180" s="67"/>
      <c r="D180" s="475" t="s">
        <v>1586</v>
      </c>
      <c r="E180" s="177" t="s">
        <v>1587</v>
      </c>
      <c r="F180" s="297"/>
      <c r="G180" s="299"/>
    </row>
    <row r="181">
      <c r="B181" s="67"/>
      <c r="D181" s="325" t="s">
        <v>1588</v>
      </c>
      <c r="E181" s="177" t="s">
        <v>1589</v>
      </c>
      <c r="F181" s="297"/>
      <c r="G181" s="299"/>
    </row>
    <row r="182">
      <c r="B182" s="67"/>
      <c r="D182" s="325" t="s">
        <v>1590</v>
      </c>
      <c r="E182" s="177" t="s">
        <v>1571</v>
      </c>
      <c r="F182" s="297"/>
      <c r="G182" s="299"/>
    </row>
    <row r="183">
      <c r="B183" s="67"/>
      <c r="D183" s="325" t="s">
        <v>1591</v>
      </c>
      <c r="E183" s="177" t="s">
        <v>1573</v>
      </c>
      <c r="F183" s="297"/>
      <c r="G183" s="299"/>
    </row>
    <row r="184">
      <c r="B184" s="67"/>
      <c r="D184" s="475" t="s">
        <v>1574</v>
      </c>
      <c r="E184" s="177" t="s">
        <v>1575</v>
      </c>
      <c r="F184" s="297"/>
      <c r="G184" s="299"/>
    </row>
    <row r="185">
      <c r="B185" s="67"/>
      <c r="D185" s="325" t="s">
        <v>1576</v>
      </c>
      <c r="E185" s="177" t="s">
        <v>1577</v>
      </c>
      <c r="F185" s="297"/>
      <c r="G185" s="299"/>
    </row>
    <row r="186">
      <c r="B186" s="67"/>
      <c r="D186" s="475" t="s">
        <v>1578</v>
      </c>
      <c r="E186" s="177" t="s">
        <v>1579</v>
      </c>
      <c r="F186" s="297"/>
      <c r="G186" s="299"/>
    </row>
    <row r="187">
      <c r="B187" s="67"/>
      <c r="D187" s="475" t="s">
        <v>1580</v>
      </c>
      <c r="E187" s="177" t="s">
        <v>1581</v>
      </c>
      <c r="F187" s="297"/>
      <c r="G187" s="299"/>
    </row>
    <row r="188">
      <c r="B188" s="67"/>
      <c r="D188" s="475" t="s">
        <v>1582</v>
      </c>
      <c r="E188" s="177" t="s">
        <v>1583</v>
      </c>
      <c r="F188" s="297"/>
      <c r="G188" s="299"/>
    </row>
    <row r="189">
      <c r="B189" s="67"/>
      <c r="D189" s="185" t="s">
        <v>86</v>
      </c>
      <c r="E189" s="246"/>
      <c r="F189" s="417"/>
      <c r="G189" s="321"/>
    </row>
    <row r="190">
      <c r="B190" s="67"/>
      <c r="D190" s="242"/>
      <c r="E190" s="248"/>
      <c r="F190" s="439"/>
      <c r="G190" s="205"/>
    </row>
    <row r="191">
      <c r="B191" s="67"/>
      <c r="D191" s="242"/>
      <c r="E191" s="248"/>
      <c r="F191" s="439"/>
      <c r="G191" s="205"/>
    </row>
    <row r="192">
      <c r="B192" s="67"/>
      <c r="D192" s="242"/>
      <c r="E192" s="248"/>
      <c r="F192" s="439"/>
      <c r="G192" s="205"/>
    </row>
    <row r="193">
      <c r="B193" s="67"/>
      <c r="D193" s="242"/>
      <c r="E193" s="248"/>
      <c r="F193" s="439"/>
      <c r="G193" s="205"/>
    </row>
    <row r="194">
      <c r="B194" s="67"/>
      <c r="D194" s="111" t="s">
        <v>1592</v>
      </c>
      <c r="E194" s="323"/>
      <c r="F194" s="296"/>
      <c r="G194" s="346"/>
    </row>
    <row r="195">
      <c r="B195" s="67"/>
      <c r="D195" s="115" t="s">
        <v>1585</v>
      </c>
      <c r="E195" s="118" t="s">
        <v>1593</v>
      </c>
      <c r="F195" s="118"/>
      <c r="G195" s="457" t="s">
        <v>11</v>
      </c>
    </row>
    <row r="196">
      <c r="B196" s="67"/>
      <c r="D196" s="115" t="s">
        <v>1594</v>
      </c>
      <c r="E196" s="118" t="s">
        <v>1595</v>
      </c>
      <c r="F196" s="118"/>
      <c r="G196" s="457" t="s">
        <v>11</v>
      </c>
    </row>
    <row r="197">
      <c r="B197" s="67"/>
      <c r="D197" s="115" t="s">
        <v>1596</v>
      </c>
      <c r="E197" s="118" t="s">
        <v>1524</v>
      </c>
      <c r="F197" s="118"/>
      <c r="G197" s="457" t="s">
        <v>11</v>
      </c>
    </row>
    <row r="198">
      <c r="B198" s="67"/>
      <c r="D198" s="115" t="s">
        <v>688</v>
      </c>
      <c r="E198" s="118" t="s">
        <v>1597</v>
      </c>
      <c r="F198" s="118"/>
      <c r="G198" s="457" t="s">
        <v>11</v>
      </c>
    </row>
    <row r="199">
      <c r="B199" s="67"/>
      <c r="D199" s="119" t="s">
        <v>86</v>
      </c>
      <c r="E199" s="221"/>
      <c r="F199" s="221"/>
      <c r="G199" s="452" t="s">
        <v>11</v>
      </c>
    </row>
    <row r="200">
      <c r="B200" s="67"/>
      <c r="D200" s="477"/>
      <c r="E200" s="350"/>
      <c r="F200" s="350"/>
      <c r="G200" s="478"/>
    </row>
    <row r="201">
      <c r="B201" s="67"/>
      <c r="D201" s="111" t="s">
        <v>1598</v>
      </c>
      <c r="E201" s="323"/>
      <c r="F201" s="323"/>
      <c r="G201" s="479"/>
    </row>
    <row r="202">
      <c r="B202" s="67"/>
      <c r="D202" s="115" t="s">
        <v>1585</v>
      </c>
      <c r="E202" s="118" t="s">
        <v>1593</v>
      </c>
      <c r="F202" s="118"/>
      <c r="G202" s="457" t="s">
        <v>11</v>
      </c>
    </row>
    <row r="203">
      <c r="B203" s="67"/>
      <c r="D203" s="115" t="s">
        <v>1567</v>
      </c>
      <c r="E203" s="118" t="s">
        <v>1595</v>
      </c>
      <c r="F203" s="118"/>
      <c r="G203" s="457" t="s">
        <v>11</v>
      </c>
    </row>
    <row r="204">
      <c r="B204" s="67"/>
      <c r="D204" s="115" t="s">
        <v>1596</v>
      </c>
      <c r="E204" s="118" t="s">
        <v>1599</v>
      </c>
      <c r="F204" s="118"/>
      <c r="G204" s="457" t="s">
        <v>11</v>
      </c>
    </row>
    <row r="205">
      <c r="B205" s="67"/>
      <c r="D205" s="115" t="s">
        <v>1534</v>
      </c>
      <c r="E205" s="118" t="s">
        <v>1535</v>
      </c>
      <c r="F205" s="118"/>
      <c r="G205" s="457" t="s">
        <v>11</v>
      </c>
    </row>
    <row r="206">
      <c r="B206" s="67"/>
      <c r="D206" s="119" t="s">
        <v>86</v>
      </c>
      <c r="E206" s="221"/>
      <c r="F206" s="221"/>
      <c r="G206" s="452" t="s">
        <v>11</v>
      </c>
    </row>
    <row r="207">
      <c r="B207" s="67"/>
      <c r="D207" s="161"/>
      <c r="E207" s="203"/>
      <c r="F207" s="203"/>
      <c r="G207" s="462"/>
    </row>
    <row r="208">
      <c r="B208" s="67"/>
      <c r="D208" s="111" t="s">
        <v>1600</v>
      </c>
      <c r="E208" s="472"/>
      <c r="F208" s="472"/>
      <c r="G208" s="480"/>
    </row>
    <row r="209">
      <c r="B209" s="67"/>
      <c r="D209" s="337" t="s">
        <v>1585</v>
      </c>
      <c r="E209" s="473" t="s">
        <v>1593</v>
      </c>
      <c r="F209" s="473"/>
      <c r="G209" s="481" t="s">
        <v>11</v>
      </c>
    </row>
    <row r="210">
      <c r="B210" s="67"/>
      <c r="D210" s="337" t="s">
        <v>1594</v>
      </c>
      <c r="E210" s="473" t="s">
        <v>1595</v>
      </c>
      <c r="F210" s="473"/>
      <c r="G210" s="481" t="s">
        <v>11</v>
      </c>
    </row>
    <row r="211">
      <c r="B211" s="67"/>
      <c r="D211" s="115" t="s">
        <v>1601</v>
      </c>
      <c r="E211" s="118" t="s">
        <v>1602</v>
      </c>
      <c r="F211" s="473"/>
      <c r="G211" s="481" t="s">
        <v>11</v>
      </c>
    </row>
    <row r="212">
      <c r="B212" s="67"/>
      <c r="D212" s="119" t="s">
        <v>86</v>
      </c>
      <c r="E212" s="482"/>
      <c r="F212" s="482"/>
      <c r="G212" s="483" t="s">
        <v>11</v>
      </c>
    </row>
    <row r="213">
      <c r="B213" s="67"/>
      <c r="D213" s="350"/>
      <c r="E213" s="350"/>
      <c r="F213" s="439"/>
      <c r="G213" s="205"/>
    </row>
    <row r="214">
      <c r="B214" s="67"/>
      <c r="D214" s="111" t="s">
        <v>1603</v>
      </c>
      <c r="E214" s="350"/>
      <c r="F214" s="439"/>
      <c r="G214" s="205"/>
    </row>
    <row r="215">
      <c r="B215" s="67"/>
      <c r="D215" s="350" t="s">
        <v>1604</v>
      </c>
      <c r="E215" s="350" t="s">
        <v>1605</v>
      </c>
      <c r="F215" s="439" t="s">
        <v>11</v>
      </c>
      <c r="G215" s="205"/>
    </row>
    <row r="216">
      <c r="B216" s="67"/>
      <c r="D216" s="350" t="s">
        <v>1606</v>
      </c>
      <c r="E216" s="350" t="s">
        <v>1607</v>
      </c>
      <c r="F216" s="439" t="s">
        <v>11</v>
      </c>
      <c r="G216" s="205"/>
    </row>
    <row r="217">
      <c r="B217" s="67"/>
      <c r="D217" s="111" t="s">
        <v>1608</v>
      </c>
      <c r="E217" s="350"/>
      <c r="F217" s="439"/>
      <c r="G217" s="205"/>
    </row>
    <row r="218">
      <c r="B218" s="67"/>
      <c r="D218" s="350" t="s">
        <v>322</v>
      </c>
      <c r="E218" s="350" t="s">
        <v>1609</v>
      </c>
      <c r="F218" s="439" t="s">
        <v>11</v>
      </c>
      <c r="G218" s="205"/>
    </row>
    <row r="219">
      <c r="B219" s="67"/>
      <c r="D219" s="350" t="s">
        <v>1610</v>
      </c>
      <c r="E219" s="350" t="s">
        <v>1611</v>
      </c>
      <c r="F219" s="439" t="s">
        <v>11</v>
      </c>
      <c r="G219" s="205"/>
    </row>
    <row r="220">
      <c r="B220" s="67"/>
      <c r="D220" s="203" t="s">
        <v>1612</v>
      </c>
      <c r="E220" s="203" t="s">
        <v>1613</v>
      </c>
      <c r="F220" s="439" t="s">
        <v>12</v>
      </c>
      <c r="G220" s="205" t="s">
        <v>1281</v>
      </c>
      <c r="H220" s="5" t="s">
        <v>1614</v>
      </c>
    </row>
    <row r="221">
      <c r="B221" s="67"/>
      <c r="D221" s="161" t="s">
        <v>1615</v>
      </c>
      <c r="E221" s="203" t="s">
        <v>1616</v>
      </c>
      <c r="F221" s="439" t="s">
        <v>11</v>
      </c>
      <c r="G221" s="205"/>
      <c r="H221" s="5" t="s">
        <v>1617</v>
      </c>
    </row>
    <row r="222">
      <c r="B222" s="67"/>
      <c r="D222" s="128" t="s">
        <v>1618</v>
      </c>
      <c r="E222" s="203" t="s">
        <v>1619</v>
      </c>
      <c r="F222" s="439" t="s">
        <v>11</v>
      </c>
      <c r="G222" s="205" t="s">
        <v>1420</v>
      </c>
      <c r="H222" s="5" t="s">
        <v>1620</v>
      </c>
    </row>
    <row r="223">
      <c r="B223" s="67"/>
      <c r="D223" s="128" t="s">
        <v>1621</v>
      </c>
      <c r="E223" s="203" t="s">
        <v>1622</v>
      </c>
      <c r="F223" s="439" t="s">
        <v>11</v>
      </c>
      <c r="G223" s="205"/>
    </row>
    <row r="224">
      <c r="B224" s="67"/>
      <c r="D224" s="128" t="s">
        <v>1623</v>
      </c>
      <c r="E224" s="203" t="s">
        <v>1624</v>
      </c>
      <c r="F224" s="439" t="s">
        <v>11</v>
      </c>
      <c r="G224" s="205"/>
    </row>
    <row r="225">
      <c r="B225" s="67"/>
      <c r="D225" s="128" t="s">
        <v>1625</v>
      </c>
      <c r="E225" s="203" t="s">
        <v>1626</v>
      </c>
      <c r="F225" s="439" t="s">
        <v>11</v>
      </c>
      <c r="G225" s="205"/>
    </row>
    <row r="226">
      <c r="B226" s="67"/>
      <c r="D226" s="128" t="s">
        <v>1627</v>
      </c>
      <c r="E226" s="203" t="s">
        <v>1628</v>
      </c>
      <c r="F226" s="439" t="s">
        <v>11</v>
      </c>
      <c r="G226" s="205"/>
    </row>
    <row r="227">
      <c r="B227" s="67"/>
      <c r="D227" s="161"/>
      <c r="E227" s="203"/>
      <c r="F227" s="439"/>
      <c r="G227" s="205"/>
    </row>
    <row r="228">
      <c r="B228" s="103"/>
      <c r="D228" s="161"/>
      <c r="E228" s="203"/>
      <c r="F228" s="439"/>
      <c r="G228" s="20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</sheetData>
  <mergeCells count="1">
    <mergeCell ref="B18:B228"/>
  </mergeCells>
  <dataValidations>
    <dataValidation type="list" allowBlank="1" showErrorMessage="1" sqref="G18:G34 G42:G43 G55:G56 G75:G107 G109:G194 G213:G228">
      <formula1>"Pass,Fail,Update required,Not implemented,Not tested,Bug noticed"</formula1>
    </dataValidation>
    <dataValidation type="list" allowBlank="1" showErrorMessage="1" sqref="G35:G41 G44:G54 G57:G74">
      <formula1>"Pass,Fail,Update required,Not implemented,Not Tested"</formula1>
    </dataValidation>
    <dataValidation type="list" allowBlank="1" showErrorMessage="1" sqref="F18:F107 F109:F194 F213:F228">
      <formula1>"Pass,Fail"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2014-04-03T16:34:00Z</dcterms:created>
  <dc:creator>Crown1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